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t\Downloads\"/>
    </mc:Choice>
  </mc:AlternateContent>
  <xr:revisionPtr revIDLastSave="0" documentId="13_ncr:1_{AEEC35FB-EC93-4AA4-A003-5980AEC16C8D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FX Hedge Model" sheetId="1" r:id="rId1"/>
    <sheet name="Notes &amp; Assumptions" sheetId="2" r:id="rId2"/>
  </sheets>
  <definedNames>
    <definedName name="F0">'FX Hedge Model'!$C$8</definedName>
    <definedName name="FC_AMT">'FX Hedge Model'!$C$6</definedName>
    <definedName name="K_CALL">'FX Hedge Model'!$C$14</definedName>
    <definedName name="K_PUT">'FX Hedge Model'!$C$12</definedName>
    <definedName name="PREM_CALL">'FX Hedge Model'!$C$15</definedName>
    <definedName name="PREM_PUT">'FX Hedge Model'!$C$13</definedName>
    <definedName name="R_EUR">'FX Hedge Model'!$C$10</definedName>
    <definedName name="R_USD">'FX Hedge Model'!$C$9</definedName>
    <definedName name="S0">'FX Hedge Model'!$C$7</definedName>
    <definedName name="T_DAYS">'FX Hedge Model'!$C$11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3" i="1" l="1"/>
  <c r="F53" i="1"/>
  <c r="E53" i="1"/>
  <c r="D53" i="1"/>
  <c r="B53" i="1"/>
  <c r="C53" i="1" s="1"/>
  <c r="G52" i="1"/>
  <c r="F52" i="1"/>
  <c r="E52" i="1"/>
  <c r="D52" i="1"/>
  <c r="B52" i="1"/>
  <c r="C52" i="1" s="1"/>
  <c r="G51" i="1"/>
  <c r="F51" i="1"/>
  <c r="E51" i="1"/>
  <c r="D51" i="1"/>
  <c r="B51" i="1"/>
  <c r="C51" i="1" s="1"/>
  <c r="G50" i="1"/>
  <c r="F50" i="1"/>
  <c r="E50" i="1"/>
  <c r="D50" i="1"/>
  <c r="B50" i="1"/>
  <c r="C50" i="1" s="1"/>
  <c r="G49" i="1"/>
  <c r="F49" i="1"/>
  <c r="E49" i="1"/>
  <c r="D49" i="1"/>
  <c r="B49" i="1"/>
  <c r="C49" i="1" s="1"/>
  <c r="G48" i="1"/>
  <c r="B81" i="1" s="1"/>
  <c r="C81" i="1" s="1"/>
  <c r="D81" i="1" s="1"/>
  <c r="F48" i="1"/>
  <c r="B80" i="1" s="1"/>
  <c r="E48" i="1"/>
  <c r="B79" i="1" s="1"/>
  <c r="D48" i="1"/>
  <c r="B78" i="1" s="1"/>
  <c r="B48" i="1"/>
  <c r="C48" i="1" s="1"/>
  <c r="B77" i="1" s="1"/>
  <c r="G47" i="1"/>
  <c r="F47" i="1"/>
  <c r="E47" i="1"/>
  <c r="D47" i="1"/>
  <c r="B47" i="1"/>
  <c r="C47" i="1" s="1"/>
  <c r="G46" i="1"/>
  <c r="F46" i="1"/>
  <c r="E46" i="1"/>
  <c r="D46" i="1"/>
  <c r="B46" i="1"/>
  <c r="C46" i="1" s="1"/>
  <c r="G45" i="1"/>
  <c r="F45" i="1"/>
  <c r="E45" i="1"/>
  <c r="D45" i="1"/>
  <c r="B45" i="1"/>
  <c r="C45" i="1" s="1"/>
  <c r="G44" i="1"/>
  <c r="F44" i="1"/>
  <c r="E44" i="1"/>
  <c r="D44" i="1"/>
  <c r="B44" i="1"/>
  <c r="C44" i="1" s="1"/>
  <c r="G43" i="1"/>
  <c r="F43" i="1"/>
  <c r="E43" i="1"/>
  <c r="D43" i="1"/>
  <c r="B43" i="1"/>
  <c r="C43" i="1" s="1"/>
  <c r="B38" i="1"/>
  <c r="B36" i="1"/>
  <c r="C35" i="1"/>
  <c r="C38" i="1" s="1"/>
  <c r="B35" i="1"/>
  <c r="C34" i="1"/>
  <c r="B34" i="1"/>
  <c r="C33" i="1"/>
  <c r="C36" i="1" s="1"/>
  <c r="B33" i="1"/>
  <c r="D25" i="1"/>
  <c r="D26" i="1" s="1"/>
  <c r="D27" i="1" s="1"/>
  <c r="D28" i="1" s="1"/>
  <c r="D21" i="1"/>
  <c r="C20" i="1"/>
  <c r="E16" i="1"/>
  <c r="C16" i="1"/>
  <c r="C78" i="1" l="1"/>
  <c r="D78" i="1" s="1"/>
  <c r="D29" i="1"/>
  <c r="C29" i="1"/>
  <c r="C79" i="1"/>
  <c r="D79" i="1" s="1"/>
  <c r="C80" i="1"/>
  <c r="D80" i="1" s="1"/>
  <c r="B37" i="1"/>
  <c r="C37" i="1"/>
</calcChain>
</file>

<file path=xl/sharedStrings.xml><?xml version="1.0" encoding="utf-8"?>
<sst xmlns="http://schemas.openxmlformats.org/spreadsheetml/2006/main" count="211" uniqueCount="173">
  <si>
    <t>FX RECEIVABLE HEDGE ANALYSIS – EUR/USD</t>
  </si>
  <si>
    <t>Matthew Furusho  |  Aerospace Division Treasury  |  Analysis Date: April 3, 2026  |  Payment Date: April 3, 2027</t>
  </si>
  <si>
    <t>SECTION A — INPUTS  (Yellow = Editable Input  |  Blue = Market Assumption)</t>
  </si>
  <si>
    <t>Parameter</t>
  </si>
  <si>
    <t>Symbol</t>
  </si>
  <si>
    <t>Value</t>
  </si>
  <si>
    <t>Units</t>
  </si>
  <si>
    <t>Source / Notes</t>
  </si>
  <si>
    <t>FC Receivable Amount</t>
  </si>
  <si>
    <t>FC_AMT</t>
  </si>
  <si>
    <t>EUR</t>
  </si>
  <si>
    <t>Stage 1 memo / contract</t>
  </si>
  <si>
    <t>Spot Rate (EUR/USD)</t>
  </si>
  <si>
    <t>S0</t>
  </si>
  <si>
    <t>USD per EUR</t>
  </si>
  <si>
    <t>Investing.com, April 3, 2026</t>
  </si>
  <si>
    <t>1-Year Forward Rate</t>
  </si>
  <si>
    <t>F0</t>
  </si>
  <si>
    <t>Desk-quoted; see CIP note below</t>
  </si>
  <si>
    <t>USD Interest Rate</t>
  </si>
  <si>
    <t>R_USD</t>
  </si>
  <si>
    <t>Annual</t>
  </si>
  <si>
    <t>Fed Funds upper bound, Mar 2026</t>
  </si>
  <si>
    <t>EUR Interest Rate</t>
  </si>
  <si>
    <t>R_EUR</t>
  </si>
  <si>
    <t>ECB Deposit Facility, Feb 2026</t>
  </si>
  <si>
    <t>Time Horizon (days)</t>
  </si>
  <si>
    <t>T_DAYS</t>
  </si>
  <si>
    <t>Days</t>
  </si>
  <si>
    <t>Apr 3, 2026 → Apr 3, 2027</t>
  </si>
  <si>
    <t>Put Strike</t>
  </si>
  <si>
    <t>K_PUT</t>
  </si>
  <si>
    <t>ATM (= S0)</t>
  </si>
  <si>
    <t>Put Premium</t>
  </si>
  <si>
    <t>PREM_PUT</t>
  </si>
  <si>
    <t>Stage 1 estimate; get live quote</t>
  </si>
  <si>
    <t>Call Strike (Collar)</t>
  </si>
  <si>
    <t>K_CALL</t>
  </si>
  <si>
    <t>OTM call – illustrative</t>
  </si>
  <si>
    <t>Call Premium (Collar)</t>
  </si>
  <si>
    <t>PREM_CALL</t>
  </si>
  <si>
    <t>Illustrative; adjust w/ live quote</t>
  </si>
  <si>
    <t>CIP-Implied Forward Rate</t>
  </si>
  <si>
    <t>F0_CIP</t>
  </si>
  <si>
    <t>SECTION B — FORWARD CONTRACT HEDGE</t>
  </si>
  <si>
    <t>Step</t>
  </si>
  <si>
    <t>Description</t>
  </si>
  <si>
    <t>Formula / Value</t>
  </si>
  <si>
    <t>USD Amount</t>
  </si>
  <si>
    <t>1</t>
  </si>
  <si>
    <t>Lock in forward rate today</t>
  </si>
  <si>
    <t>—</t>
  </si>
  <si>
    <t>2 (Output)</t>
  </si>
  <si>
    <t>USD Proceeds – Forward Hedge</t>
  </si>
  <si>
    <t>FC_AMT × F0</t>
  </si>
  <si>
    <t>SECTION C — MONEY MARKET HEDGE  (3-Step)</t>
  </si>
  <si>
    <t>Formula</t>
  </si>
  <si>
    <t>Borrow EUR today (PV of receivable)</t>
  </si>
  <si>
    <t>C6/(1+C10*C11/365)</t>
  </si>
  <si>
    <t>2</t>
  </si>
  <si>
    <t>Convert borrowed EUR to USD at spot S0</t>
  </si>
  <si>
    <t>D25*C7</t>
  </si>
  <si>
    <t>3</t>
  </si>
  <si>
    <t>Invest USD proceeds for T_DAYS at R_USD</t>
  </si>
  <si>
    <t>D26*(1+C9*C11/365)</t>
  </si>
  <si>
    <t>4 (Output)</t>
  </si>
  <si>
    <t>USD Proceeds – Money Market Hedge</t>
  </si>
  <si>
    <t>Full chain (Step 3 above)</t>
  </si>
  <si>
    <t>Parity Check</t>
  </si>
  <si>
    <t>FWD vs MM difference (should be ~0 at mkt rates)</t>
  </si>
  <si>
    <t>SECTION D — OPTION HEDGES  (Put &amp; Call / Collar)</t>
  </si>
  <si>
    <t>Item</t>
  </si>
  <si>
    <t>Value (USD)</t>
  </si>
  <si>
    <t>Notes</t>
  </si>
  <si>
    <t>Total Put Premium (USD)</t>
  </si>
  <si>
    <t>Upfront cost – nonrefundable</t>
  </si>
  <si>
    <t>Total Call Premium Collected</t>
  </si>
  <si>
    <t>Received if collar</t>
  </si>
  <si>
    <t>Net Collar Cost (USD)</t>
  </si>
  <si>
    <t>Put bought, call sold</t>
  </si>
  <si>
    <t>Put Net Proceeds at S0</t>
  </si>
  <si>
    <t>Floor at K_PUT</t>
  </si>
  <si>
    <t>Collar Floor Proceeds</t>
  </si>
  <si>
    <t>Min proceeds (S_T ≤ K_PUT)</t>
  </si>
  <si>
    <t>Collar Cap Proceeds</t>
  </si>
  <si>
    <t>Max proceeds (S_T ≥ K_CALL)</t>
  </si>
  <si>
    <t>SECTION E — SENSITIVITY TABLE  (S_T varies ±5% around S0)</t>
  </si>
  <si>
    <t>S_T Mult.</t>
  </si>
  <si>
    <t>S_T (USD/EUR)</t>
  </si>
  <si>
    <t>Unhedged (USD)</t>
  </si>
  <si>
    <t>Forward (USD)</t>
  </si>
  <si>
    <t>MM Hedge (USD)</t>
  </si>
  <si>
    <t>Put Net (USD)</t>
  </si>
  <si>
    <t>Collar Net (USD)</t>
  </si>
  <si>
    <t>SECTION F — SUMMARY OUTPUT  (Gray = Outputs)</t>
  </si>
  <si>
    <t>Strategy</t>
  </si>
  <si>
    <t>USD Proceeds at S0</t>
  </si>
  <si>
    <t>vs Unhedged (USD)</t>
  </si>
  <si>
    <t>vs Unhedged (%)</t>
  </si>
  <si>
    <t>Key Tradeoff</t>
  </si>
  <si>
    <t>Unhedged (at spot S0)</t>
  </si>
  <si>
    <t>Full upside &amp; downside exposure</t>
  </si>
  <si>
    <t>Forward Contract</t>
  </si>
  <si>
    <t>Certainty; no upside participation</t>
  </si>
  <si>
    <t>Money Market Hedge</t>
  </si>
  <si>
    <t>Replicates forward; uses balance sheet</t>
  </si>
  <si>
    <t>Put Option (floor@K)</t>
  </si>
  <si>
    <t>Floor + full upside; costs premium</t>
  </si>
  <si>
    <t>Collar Strategy</t>
  </si>
  <si>
    <t>Bounded range; low net cost</t>
  </si>
  <si>
    <t>CFO Recommendation</t>
  </si>
  <si>
    <t>Collar Strategy – Floor $22,908,000 / Cap $23,820,000 | Net premium $180,000 (0.78% of notional)</t>
  </si>
  <si>
    <t>NOTES &amp; ASSUMPTIONS</t>
  </si>
  <si>
    <t>Section</t>
  </si>
  <si>
    <t>Detail</t>
  </si>
  <si>
    <t>Model Overview</t>
  </si>
  <si>
    <t>Purpose</t>
  </si>
  <si>
    <t>Compare EUR/USD FX hedge strategies for €20M receivable due Apr 3 2027</t>
  </si>
  <si>
    <t>Author</t>
  </si>
  <si>
    <t>Matthew Furusho, Aerospace Division Treasury</t>
  </si>
  <si>
    <t>Version</t>
  </si>
  <si>
    <t>2.0 – Stage 4 Final Deliverable</t>
  </si>
  <si>
    <t>LLM Assist</t>
  </si>
  <si>
    <t>Claude (Anthropic)</t>
  </si>
  <si>
    <t>Rates &amp; Market Data</t>
  </si>
  <si>
    <t>Spot Rate (S0)</t>
  </si>
  <si>
    <t>1.1544 USD/EUR – Investing.com, April 3, 2026</t>
  </si>
  <si>
    <t>Forward Rate (F0)</t>
  </si>
  <si>
    <t>1.0935 USD/EUR – Desk-quoted; see CIP reconciliation note below</t>
  </si>
  <si>
    <t>USD Rate (R_USD)</t>
  </si>
  <si>
    <t>3.75% – Fed Funds upper bound, March 2026</t>
  </si>
  <si>
    <t>EUR Rate (R_EUR)</t>
  </si>
  <si>
    <t>2.00% – ECB Deposit Facility Rate, February 2026</t>
  </si>
  <si>
    <t>Time Horizon</t>
  </si>
  <si>
    <t>365 days – exact calendar; no day-count adjustment applied</t>
  </si>
  <si>
    <t>Options</t>
  </si>
  <si>
    <t>Put Strike (K_PUT)</t>
  </si>
  <si>
    <t>1.1544 – ATM, set equal to current spot S0</t>
  </si>
  <si>
    <t>$0.019/EUR (~$380,000 total) – Stage 1 estimate; market quote needed for execution</t>
  </si>
  <si>
    <t>Call Strike (K_CALL)</t>
  </si>
  <si>
    <t>1.2000 – OTM call used for illustrative collar strategy</t>
  </si>
  <si>
    <t>Call Premium</t>
  </si>
  <si>
    <t>$0.010/EUR – Illustrative; adjust with live quote</t>
  </si>
  <si>
    <t>Option Style</t>
  </si>
  <si>
    <t>European-style assumed; no early exercise, no Black-Scholes pricing</t>
  </si>
  <si>
    <t>Simplifications</t>
  </si>
  <si>
    <t>Bid-Ask Spreads</t>
  </si>
  <si>
    <t>Excluded – model uses mid-market rates throughout</t>
  </si>
  <si>
    <t>Transaction Costs</t>
  </si>
  <si>
    <t>Not included; add broker fees before final execution</t>
  </si>
  <si>
    <t>Compounding</t>
  </si>
  <si>
    <t>Simple interest assumed for both USD and EUR rates</t>
  </si>
  <si>
    <t>Day-Count Convention</t>
  </si>
  <si>
    <t>ACT/365 implied; a production model should apply ACT/360 for USD</t>
  </si>
  <si>
    <t>Credit Risk</t>
  </si>
  <si>
    <t>Counterparty risk on forward/option contracts not modeled</t>
  </si>
  <si>
    <t>Balance Sheet</t>
  </si>
  <si>
    <t>MM hedge draws on EUR credit facility; availability not verified</t>
  </si>
  <si>
    <t>CIP Parity Check</t>
  </si>
  <si>
    <t>CIP Formula</t>
  </si>
  <si>
    <t>F0_CIP = S0 × (1 + R_USD) / (1 + R_EUR)</t>
  </si>
  <si>
    <t>CIP-Implied F0</t>
  </si>
  <si>
    <t>1.1544 × 1.0375 / 1.02 ≈ 1.1944 USD/EUR</t>
  </si>
  <si>
    <t>Desk-Quoted F0</t>
  </si>
  <si>
    <t>1.0935 – gap of ~0.10 vs CIP-implied; must reconcile before execution</t>
  </si>
  <si>
    <t>Impact</t>
  </si>
  <si>
    <t>Gap causes MM hedge to yield ~$1.6M more than Forward; parity fails</t>
  </si>
  <si>
    <t>Stage 4 Recommendation</t>
  </si>
  <si>
    <t>Collar (long put K=1.1544 / short call K=1.2000)</t>
  </si>
  <si>
    <t>Rationale</t>
  </si>
  <si>
    <t>Floor $22,908,000 / Cap $23,820,000 / Net premium $180,000 (0.78% of notional)</t>
  </si>
  <si>
    <t>Alternative</t>
  </si>
  <si>
    <t>If F0 confirmed at ~1.1944 (CIP parity), Forward Contract becomes dominant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</si>
</sst>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$#,##0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sz val="10"/>
      <color rgb="FF0000FF"/>
      <name val="Arial"/>
      <charset val="1"/>
    </font>
    <font>
      <b/>
      <sz val="13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2EFDA"/>
      </patternFill>
    </fill>
    <fill>
      <patternFill patternType="solid">
        <fgColor rgb="FFD9D9D9"/>
        <bgColor rgb="FFDEEAF1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9" fillId="2" borderId="0" xfId="0" applyFont="1" applyFill="1" applyAlignment="1">
      <alignment horizontal="center" vertical="center"/>
    </xf>
    <xf numFmtId="0" fontId="6" fillId="6" borderId="2" xfId="0" applyFont="1" applyFill="1" applyBorder="1"/>
    <xf numFmtId="0" fontId="4" fillId="2" borderId="2" xfId="0" applyFont="1" applyFill="1" applyBorder="1"/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/>
    <xf numFmtId="0" fontId="6" fillId="0" borderId="1" xfId="0" applyFont="1" applyBorder="1"/>
    <xf numFmtId="3" fontId="5" fillId="4" borderId="1" xfId="0" applyNumberFormat="1" applyFont="1" applyFill="1" applyBorder="1"/>
    <xf numFmtId="164" fontId="5" fillId="4" borderId="1" xfId="0" applyNumberFormat="1" applyFont="1" applyFill="1" applyBorder="1"/>
    <xf numFmtId="0" fontId="7" fillId="0" borderId="1" xfId="0" applyFont="1" applyBorder="1"/>
    <xf numFmtId="164" fontId="8" fillId="5" borderId="1" xfId="0" applyNumberFormat="1" applyFont="1" applyFill="1" applyBorder="1"/>
    <xf numFmtId="10" fontId="8" fillId="5" borderId="1" xfId="0" applyNumberFormat="1" applyFont="1" applyFill="1" applyBorder="1"/>
    <xf numFmtId="164" fontId="5" fillId="6" borderId="1" xfId="0" applyNumberFormat="1" applyFont="1" applyFill="1" applyBorder="1"/>
    <xf numFmtId="164" fontId="5" fillId="0" borderId="1" xfId="0" applyNumberFormat="1" applyFont="1" applyBorder="1"/>
    <xf numFmtId="0" fontId="0" fillId="0" borderId="1" xfId="0" applyBorder="1"/>
    <xf numFmtId="165" fontId="6" fillId="6" borderId="1" xfId="0" applyNumberFormat="1" applyFont="1" applyFill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2" fontId="8" fillId="0" borderId="1" xfId="0" applyNumberFormat="1" applyFont="1" applyBorder="1"/>
    <xf numFmtId="2" fontId="6" fillId="7" borderId="1" xfId="0" applyNumberFormat="1" applyFont="1" applyFill="1" applyBorder="1"/>
    <xf numFmtId="164" fontId="5" fillId="7" borderId="1" xfId="0" applyNumberFormat="1" applyFont="1" applyFill="1" applyBorder="1"/>
    <xf numFmtId="165" fontId="5" fillId="7" borderId="1" xfId="0" applyNumberFormat="1" applyFont="1" applyFill="1" applyBorder="1"/>
    <xf numFmtId="0" fontId="6" fillId="8" borderId="1" xfId="0" applyFont="1" applyFill="1" applyBorder="1"/>
    <xf numFmtId="165" fontId="6" fillId="8" borderId="1" xfId="0" applyNumberFormat="1" applyFont="1" applyFill="1" applyBorder="1"/>
    <xf numFmtId="165" fontId="5" fillId="8" borderId="1" xfId="0" applyNumberFormat="1" applyFont="1" applyFill="1" applyBorder="1"/>
    <xf numFmtId="10" fontId="5" fillId="8" borderId="1" xfId="0" applyNumberFormat="1" applyFont="1" applyFill="1" applyBorder="1"/>
    <xf numFmtId="0" fontId="5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F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USD Proceeds by Strategy vs. EUR/USD at Maturity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Unhedged</c:v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Model'!$B$43:$B$53</c:f>
              <c:numCache>
                <c:formatCode>0.0000</c:formatCode>
                <c:ptCount val="11"/>
                <c:pt idx="0">
                  <c:v>1.0966800000000001</c:v>
                </c:pt>
                <c:pt idx="1">
                  <c:v>1.1082240000000001</c:v>
                </c:pt>
                <c:pt idx="2">
                  <c:v>1.1197680000000001</c:v>
                </c:pt>
                <c:pt idx="3">
                  <c:v>1.1313120000000001</c:v>
                </c:pt>
                <c:pt idx="4">
                  <c:v>1.1428560000000001</c:v>
                </c:pt>
                <c:pt idx="5">
                  <c:v>1.1544000000000001</c:v>
                </c:pt>
                <c:pt idx="6">
                  <c:v>1.1659440000000001</c:v>
                </c:pt>
                <c:pt idx="7">
                  <c:v>1.1774880000000001</c:v>
                </c:pt>
                <c:pt idx="8">
                  <c:v>1.1890320000000001</c:v>
                </c:pt>
                <c:pt idx="9">
                  <c:v>1.2005760000000001</c:v>
                </c:pt>
                <c:pt idx="10">
                  <c:v>1.2121200000000001</c:v>
                </c:pt>
              </c:numCache>
            </c:numRef>
          </c:cat>
          <c:val>
            <c:numRef>
              <c:f>'FX Hedge Model'!$C$42:$C$53</c:f>
              <c:numCache>
                <c:formatCode>\$#,##0</c:formatCode>
                <c:ptCount val="12"/>
                <c:pt idx="0" formatCode="General">
                  <c:v>0</c:v>
                </c:pt>
                <c:pt idx="1">
                  <c:v>21933600.000000004</c:v>
                </c:pt>
                <c:pt idx="2">
                  <c:v>22164480.000000004</c:v>
                </c:pt>
                <c:pt idx="3">
                  <c:v>22395360.000000004</c:v>
                </c:pt>
                <c:pt idx="4">
                  <c:v>22626240.000000004</c:v>
                </c:pt>
                <c:pt idx="5">
                  <c:v>22857120.000000004</c:v>
                </c:pt>
                <c:pt idx="6">
                  <c:v>23088000</c:v>
                </c:pt>
                <c:pt idx="7">
                  <c:v>23318880</c:v>
                </c:pt>
                <c:pt idx="8">
                  <c:v>23549760</c:v>
                </c:pt>
                <c:pt idx="9">
                  <c:v>23780640</c:v>
                </c:pt>
                <c:pt idx="10">
                  <c:v>24011520</c:v>
                </c:pt>
                <c:pt idx="11">
                  <c:v>24242400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7C-4EE9-8E12-EF1C9EC870CF}"/>
            </c:ext>
          </c:extLst>
        </c:ser>
        <c:ser>
          <c:idx val="1"/>
          <c:order val="1"/>
          <c:tx>
            <c:v>Forward</c:v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Model'!$B$43:$B$53</c:f>
              <c:numCache>
                <c:formatCode>0.0000</c:formatCode>
                <c:ptCount val="11"/>
                <c:pt idx="0">
                  <c:v>1.0966800000000001</c:v>
                </c:pt>
                <c:pt idx="1">
                  <c:v>1.1082240000000001</c:v>
                </c:pt>
                <c:pt idx="2">
                  <c:v>1.1197680000000001</c:v>
                </c:pt>
                <c:pt idx="3">
                  <c:v>1.1313120000000001</c:v>
                </c:pt>
                <c:pt idx="4">
                  <c:v>1.1428560000000001</c:v>
                </c:pt>
                <c:pt idx="5">
                  <c:v>1.1544000000000001</c:v>
                </c:pt>
                <c:pt idx="6">
                  <c:v>1.1659440000000001</c:v>
                </c:pt>
                <c:pt idx="7">
                  <c:v>1.1774880000000001</c:v>
                </c:pt>
                <c:pt idx="8">
                  <c:v>1.1890320000000001</c:v>
                </c:pt>
                <c:pt idx="9">
                  <c:v>1.2005760000000001</c:v>
                </c:pt>
                <c:pt idx="10">
                  <c:v>1.2121200000000001</c:v>
                </c:pt>
              </c:numCache>
            </c:numRef>
          </c:cat>
          <c:val>
            <c:numRef>
              <c:f>'FX Hedge Model'!$D$42:$D$53</c:f>
              <c:numCache>
                <c:formatCode>\$#,##0</c:formatCode>
                <c:ptCount val="12"/>
                <c:pt idx="0" formatCode="General">
                  <c:v>0</c:v>
                </c:pt>
                <c:pt idx="1">
                  <c:v>21870000</c:v>
                </c:pt>
                <c:pt idx="2">
                  <c:v>21870000</c:v>
                </c:pt>
                <c:pt idx="3">
                  <c:v>21870000</c:v>
                </c:pt>
                <c:pt idx="4">
                  <c:v>21870000</c:v>
                </c:pt>
                <c:pt idx="5">
                  <c:v>21870000</c:v>
                </c:pt>
                <c:pt idx="6">
                  <c:v>21870000</c:v>
                </c:pt>
                <c:pt idx="7">
                  <c:v>21870000</c:v>
                </c:pt>
                <c:pt idx="8">
                  <c:v>21870000</c:v>
                </c:pt>
                <c:pt idx="9">
                  <c:v>21870000</c:v>
                </c:pt>
                <c:pt idx="10">
                  <c:v>21870000</c:v>
                </c:pt>
                <c:pt idx="11">
                  <c:v>21870000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97C-4EE9-8E12-EF1C9EC870CF}"/>
            </c:ext>
          </c:extLst>
        </c:ser>
        <c:ser>
          <c:idx val="2"/>
          <c:order val="2"/>
          <c:tx>
            <c:v>MM Hedge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Model'!$B$43:$B$53</c:f>
              <c:numCache>
                <c:formatCode>0.0000</c:formatCode>
                <c:ptCount val="11"/>
                <c:pt idx="0">
                  <c:v>1.0966800000000001</c:v>
                </c:pt>
                <c:pt idx="1">
                  <c:v>1.1082240000000001</c:v>
                </c:pt>
                <c:pt idx="2">
                  <c:v>1.1197680000000001</c:v>
                </c:pt>
                <c:pt idx="3">
                  <c:v>1.1313120000000001</c:v>
                </c:pt>
                <c:pt idx="4">
                  <c:v>1.1428560000000001</c:v>
                </c:pt>
                <c:pt idx="5">
                  <c:v>1.1544000000000001</c:v>
                </c:pt>
                <c:pt idx="6">
                  <c:v>1.1659440000000001</c:v>
                </c:pt>
                <c:pt idx="7">
                  <c:v>1.1774880000000001</c:v>
                </c:pt>
                <c:pt idx="8">
                  <c:v>1.1890320000000001</c:v>
                </c:pt>
                <c:pt idx="9">
                  <c:v>1.2005760000000001</c:v>
                </c:pt>
                <c:pt idx="10">
                  <c:v>1.2121200000000001</c:v>
                </c:pt>
              </c:numCache>
            </c:numRef>
          </c:cat>
          <c:val>
            <c:numRef>
              <c:f>'FX Hedge Model'!$E$42:$E$53</c:f>
              <c:numCache>
                <c:formatCode>\$#,##0</c:formatCode>
                <c:ptCount val="12"/>
                <c:pt idx="0" formatCode="General">
                  <c:v>0</c:v>
                </c:pt>
                <c:pt idx="1">
                  <c:v>23484117.647058826</c:v>
                </c:pt>
                <c:pt idx="2">
                  <c:v>23484117.647058826</c:v>
                </c:pt>
                <c:pt idx="3">
                  <c:v>23484117.647058826</c:v>
                </c:pt>
                <c:pt idx="4">
                  <c:v>23484117.647058826</c:v>
                </c:pt>
                <c:pt idx="5">
                  <c:v>23484117.647058826</c:v>
                </c:pt>
                <c:pt idx="6">
                  <c:v>23484117.647058826</c:v>
                </c:pt>
                <c:pt idx="7">
                  <c:v>23484117.647058826</c:v>
                </c:pt>
                <c:pt idx="8">
                  <c:v>23484117.647058826</c:v>
                </c:pt>
                <c:pt idx="9">
                  <c:v>23484117.647058826</c:v>
                </c:pt>
                <c:pt idx="10">
                  <c:v>23484117.647058826</c:v>
                </c:pt>
                <c:pt idx="11">
                  <c:v>23484117.647058826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97C-4EE9-8E12-EF1C9EC870CF}"/>
            </c:ext>
          </c:extLst>
        </c:ser>
        <c:ser>
          <c:idx val="3"/>
          <c:order val="3"/>
          <c:tx>
            <c:v>Put Net</c:v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Model'!$B$43:$B$53</c:f>
              <c:numCache>
                <c:formatCode>0.0000</c:formatCode>
                <c:ptCount val="11"/>
                <c:pt idx="0">
                  <c:v>1.0966800000000001</c:v>
                </c:pt>
                <c:pt idx="1">
                  <c:v>1.1082240000000001</c:v>
                </c:pt>
                <c:pt idx="2">
                  <c:v>1.1197680000000001</c:v>
                </c:pt>
                <c:pt idx="3">
                  <c:v>1.1313120000000001</c:v>
                </c:pt>
                <c:pt idx="4">
                  <c:v>1.1428560000000001</c:v>
                </c:pt>
                <c:pt idx="5">
                  <c:v>1.1544000000000001</c:v>
                </c:pt>
                <c:pt idx="6">
                  <c:v>1.1659440000000001</c:v>
                </c:pt>
                <c:pt idx="7">
                  <c:v>1.1774880000000001</c:v>
                </c:pt>
                <c:pt idx="8">
                  <c:v>1.1890320000000001</c:v>
                </c:pt>
                <c:pt idx="9">
                  <c:v>1.2005760000000001</c:v>
                </c:pt>
                <c:pt idx="10">
                  <c:v>1.2121200000000001</c:v>
                </c:pt>
              </c:numCache>
            </c:numRef>
          </c:cat>
          <c:val>
            <c:numRef>
              <c:f>'FX Hedge Model'!$F$42:$F$53</c:f>
              <c:numCache>
                <c:formatCode>\$#,##0</c:formatCode>
                <c:ptCount val="12"/>
                <c:pt idx="0" formatCode="General">
                  <c:v>0</c:v>
                </c:pt>
                <c:pt idx="1">
                  <c:v>22708000</c:v>
                </c:pt>
                <c:pt idx="2">
                  <c:v>22708000</c:v>
                </c:pt>
                <c:pt idx="3">
                  <c:v>22708000</c:v>
                </c:pt>
                <c:pt idx="4">
                  <c:v>22708000</c:v>
                </c:pt>
                <c:pt idx="5">
                  <c:v>22708000</c:v>
                </c:pt>
                <c:pt idx="6">
                  <c:v>22708000</c:v>
                </c:pt>
                <c:pt idx="7">
                  <c:v>22938880</c:v>
                </c:pt>
                <c:pt idx="8">
                  <c:v>23169760</c:v>
                </c:pt>
                <c:pt idx="9">
                  <c:v>23400640</c:v>
                </c:pt>
                <c:pt idx="10">
                  <c:v>23631520</c:v>
                </c:pt>
                <c:pt idx="11">
                  <c:v>23862400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97C-4EE9-8E12-EF1C9EC870CF}"/>
            </c:ext>
          </c:extLst>
        </c:ser>
        <c:ser>
          <c:idx val="4"/>
          <c:order val="4"/>
          <c:tx>
            <c:v>Collar Net</c:v>
          </c:tx>
          <c:spPr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Model'!$B$43:$B$53</c:f>
              <c:numCache>
                <c:formatCode>0.0000</c:formatCode>
                <c:ptCount val="11"/>
                <c:pt idx="0">
                  <c:v>1.0966800000000001</c:v>
                </c:pt>
                <c:pt idx="1">
                  <c:v>1.1082240000000001</c:v>
                </c:pt>
                <c:pt idx="2">
                  <c:v>1.1197680000000001</c:v>
                </c:pt>
                <c:pt idx="3">
                  <c:v>1.1313120000000001</c:v>
                </c:pt>
                <c:pt idx="4">
                  <c:v>1.1428560000000001</c:v>
                </c:pt>
                <c:pt idx="5">
                  <c:v>1.1544000000000001</c:v>
                </c:pt>
                <c:pt idx="6">
                  <c:v>1.1659440000000001</c:v>
                </c:pt>
                <c:pt idx="7">
                  <c:v>1.1774880000000001</c:v>
                </c:pt>
                <c:pt idx="8">
                  <c:v>1.1890320000000001</c:v>
                </c:pt>
                <c:pt idx="9">
                  <c:v>1.2005760000000001</c:v>
                </c:pt>
                <c:pt idx="10">
                  <c:v>1.2121200000000001</c:v>
                </c:pt>
              </c:numCache>
            </c:numRef>
          </c:cat>
          <c:val>
            <c:numRef>
              <c:f>'FX Hedge Model'!$G$42:$G$53</c:f>
              <c:numCache>
                <c:formatCode>\$#,##0</c:formatCode>
                <c:ptCount val="12"/>
                <c:pt idx="0" formatCode="General">
                  <c:v>0</c:v>
                </c:pt>
                <c:pt idx="1">
                  <c:v>22908000</c:v>
                </c:pt>
                <c:pt idx="2">
                  <c:v>22908000</c:v>
                </c:pt>
                <c:pt idx="3">
                  <c:v>22908000</c:v>
                </c:pt>
                <c:pt idx="4">
                  <c:v>22908000</c:v>
                </c:pt>
                <c:pt idx="5">
                  <c:v>22908000</c:v>
                </c:pt>
                <c:pt idx="6">
                  <c:v>22908000</c:v>
                </c:pt>
                <c:pt idx="7">
                  <c:v>23138880</c:v>
                </c:pt>
                <c:pt idx="8">
                  <c:v>23369760</c:v>
                </c:pt>
                <c:pt idx="9">
                  <c:v>23600640</c:v>
                </c:pt>
                <c:pt idx="10">
                  <c:v>23820000</c:v>
                </c:pt>
                <c:pt idx="11">
                  <c:v>23820000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97C-4EE9-8E12-EF1C9EC87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746570"/>
        <c:axId val="15157367"/>
      </c:lineChart>
      <c:catAx>
        <c:axId val="337465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S_T (USD/EUR)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57367"/>
        <c:crosses val="autoZero"/>
        <c:auto val="1"/>
        <c:lblAlgn val="ctr"/>
        <c:lblOffset val="100"/>
        <c:noMultiLvlLbl val="0"/>
      </c:catAx>
      <c:valAx>
        <c:axId val="15157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746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168223</xdr:rowOff>
    </xdr:from>
    <xdr:to>
      <xdr:col>3</xdr:col>
      <xdr:colOff>342900</xdr:colOff>
      <xdr:row>74</xdr:row>
      <xdr:rowOff>27283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zoomScaleNormal="100" workbookViewId="0">
      <pane ySplit="2" topLeftCell="A47" activePane="bottomLeft" state="frozen"/>
      <selection pane="bottomLeft" activeCell="D58" sqref="D58"/>
    </sheetView>
  </sheetViews>
  <sheetFormatPr defaultColWidth="8.7109375" defaultRowHeight="15" x14ac:dyDescent="0.25"/>
  <cols>
    <col min="1" max="1" width="25.5703125" bestFit="1" customWidth="1"/>
    <col min="2" max="2" width="43.85546875" bestFit="1" customWidth="1"/>
    <col min="3" max="3" width="21.85546875" bestFit="1" customWidth="1"/>
    <col min="4" max="4" width="27.28515625" bestFit="1" customWidth="1"/>
    <col min="5" max="5" width="41.85546875" bestFit="1" customWidth="1"/>
    <col min="6" max="6" width="13.28515625" bestFit="1" customWidth="1"/>
    <col min="7" max="7" width="15.7109375" bestFit="1" customWidth="1"/>
  </cols>
  <sheetData>
    <row r="1" spans="1:8" ht="18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25">
      <c r="A2" s="5" t="s">
        <v>1</v>
      </c>
      <c r="B2" s="5"/>
      <c r="C2" s="5"/>
      <c r="D2" s="5"/>
      <c r="E2" s="5"/>
      <c r="F2" s="5"/>
      <c r="G2" s="5"/>
      <c r="H2" s="5"/>
    </row>
    <row r="4" spans="1:8" x14ac:dyDescent="0.25">
      <c r="A4" s="4" t="s">
        <v>2</v>
      </c>
      <c r="B4" s="4"/>
      <c r="C4" s="4"/>
      <c r="D4" s="4"/>
      <c r="E4" s="4"/>
      <c r="F4" s="4"/>
      <c r="G4" s="4"/>
    </row>
    <row r="5" spans="1:8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8" x14ac:dyDescent="0.25">
      <c r="A6" s="8" t="s">
        <v>8</v>
      </c>
      <c r="B6" s="9" t="s">
        <v>9</v>
      </c>
      <c r="C6" s="10">
        <v>20000000</v>
      </c>
      <c r="D6" s="8" t="s">
        <v>10</v>
      </c>
      <c r="E6" s="8" t="s">
        <v>11</v>
      </c>
    </row>
    <row r="7" spans="1:8" x14ac:dyDescent="0.25">
      <c r="A7" s="8" t="s">
        <v>12</v>
      </c>
      <c r="B7" s="9" t="s">
        <v>13</v>
      </c>
      <c r="C7" s="11">
        <v>1.1544000000000001</v>
      </c>
      <c r="D7" s="8" t="s">
        <v>14</v>
      </c>
      <c r="E7" s="8" t="s">
        <v>15</v>
      </c>
    </row>
    <row r="8" spans="1:8" x14ac:dyDescent="0.25">
      <c r="A8" s="8" t="s">
        <v>16</v>
      </c>
      <c r="B8" s="12" t="s">
        <v>17</v>
      </c>
      <c r="C8" s="13">
        <v>1.0934999999999999</v>
      </c>
      <c r="D8" s="8" t="s">
        <v>14</v>
      </c>
      <c r="E8" s="8" t="s">
        <v>18</v>
      </c>
    </row>
    <row r="9" spans="1:8" x14ac:dyDescent="0.25">
      <c r="A9" s="8" t="s">
        <v>19</v>
      </c>
      <c r="B9" s="12" t="s">
        <v>20</v>
      </c>
      <c r="C9" s="14">
        <v>3.7499999999999999E-2</v>
      </c>
      <c r="D9" s="8" t="s">
        <v>21</v>
      </c>
      <c r="E9" s="8" t="s">
        <v>22</v>
      </c>
    </row>
    <row r="10" spans="1:8" x14ac:dyDescent="0.25">
      <c r="A10" s="8" t="s">
        <v>23</v>
      </c>
      <c r="B10" s="12" t="s">
        <v>24</v>
      </c>
      <c r="C10" s="14">
        <v>0.02</v>
      </c>
      <c r="D10" s="8" t="s">
        <v>21</v>
      </c>
      <c r="E10" s="8" t="s">
        <v>25</v>
      </c>
    </row>
    <row r="11" spans="1:8" x14ac:dyDescent="0.25">
      <c r="A11" s="8" t="s">
        <v>26</v>
      </c>
      <c r="B11" s="9" t="s">
        <v>27</v>
      </c>
      <c r="C11" s="10">
        <v>365</v>
      </c>
      <c r="D11" s="8" t="s">
        <v>28</v>
      </c>
      <c r="E11" s="8" t="s">
        <v>29</v>
      </c>
    </row>
    <row r="12" spans="1:8" x14ac:dyDescent="0.25">
      <c r="A12" s="8" t="s">
        <v>30</v>
      </c>
      <c r="B12" s="9" t="s">
        <v>31</v>
      </c>
      <c r="C12" s="11">
        <v>1.1544000000000001</v>
      </c>
      <c r="D12" s="8" t="s">
        <v>14</v>
      </c>
      <c r="E12" s="8" t="s">
        <v>32</v>
      </c>
    </row>
    <row r="13" spans="1:8" x14ac:dyDescent="0.25">
      <c r="A13" s="8" t="s">
        <v>33</v>
      </c>
      <c r="B13" s="12" t="s">
        <v>34</v>
      </c>
      <c r="C13" s="13">
        <v>1.9E-2</v>
      </c>
      <c r="D13" s="8" t="s">
        <v>14</v>
      </c>
      <c r="E13" s="8" t="s">
        <v>35</v>
      </c>
    </row>
    <row r="14" spans="1:8" x14ac:dyDescent="0.25">
      <c r="A14" s="8" t="s">
        <v>36</v>
      </c>
      <c r="B14" s="9" t="s">
        <v>37</v>
      </c>
      <c r="C14" s="11">
        <v>1.2</v>
      </c>
      <c r="D14" s="8" t="s">
        <v>14</v>
      </c>
      <c r="E14" s="8" t="s">
        <v>38</v>
      </c>
    </row>
    <row r="15" spans="1:8" x14ac:dyDescent="0.25">
      <c r="A15" s="8" t="s">
        <v>39</v>
      </c>
      <c r="B15" s="12" t="s">
        <v>40</v>
      </c>
      <c r="C15" s="13">
        <v>0.01</v>
      </c>
      <c r="D15" s="8" t="s">
        <v>14</v>
      </c>
      <c r="E15" s="8" t="s">
        <v>41</v>
      </c>
    </row>
    <row r="16" spans="1:8" x14ac:dyDescent="0.25">
      <c r="A16" s="9" t="s">
        <v>42</v>
      </c>
      <c r="B16" s="9" t="s">
        <v>43</v>
      </c>
      <c r="C16" s="15">
        <f>C7*(1+C9)/(1+C10)</f>
        <v>1.1742058823529413</v>
      </c>
      <c r="D16" s="8" t="s">
        <v>14</v>
      </c>
      <c r="E16" s="8" t="str">
        <f>IF(ABS(C8-C16)&gt;0.05,"⚠ CIP gap &gt; 0.05 — reconcile forward with desk","✓ CIP gap acceptable")</f>
        <v>⚠ CIP gap &gt; 0.05 — reconcile forward with desk</v>
      </c>
    </row>
    <row r="18" spans="1:7" x14ac:dyDescent="0.25">
      <c r="A18" s="4" t="s">
        <v>44</v>
      </c>
      <c r="B18" s="4"/>
      <c r="C18" s="4"/>
      <c r="D18" s="4"/>
      <c r="E18" s="4"/>
      <c r="F18" s="4"/>
      <c r="G18" s="4"/>
    </row>
    <row r="19" spans="1:7" x14ac:dyDescent="0.25">
      <c r="A19" s="7" t="s">
        <v>45</v>
      </c>
      <c r="B19" s="7" t="s">
        <v>46</v>
      </c>
      <c r="C19" s="7" t="s">
        <v>47</v>
      </c>
      <c r="D19" s="7" t="s">
        <v>48</v>
      </c>
    </row>
    <row r="20" spans="1:7" x14ac:dyDescent="0.25">
      <c r="A20" s="8" t="s">
        <v>49</v>
      </c>
      <c r="B20" s="8" t="s">
        <v>50</v>
      </c>
      <c r="C20" s="16">
        <f>C8</f>
        <v>1.0934999999999999</v>
      </c>
      <c r="D20" s="17" t="s">
        <v>51</v>
      </c>
    </row>
    <row r="21" spans="1:7" x14ac:dyDescent="0.25">
      <c r="A21" s="9" t="s">
        <v>52</v>
      </c>
      <c r="B21" s="9" t="s">
        <v>53</v>
      </c>
      <c r="C21" s="8" t="s">
        <v>54</v>
      </c>
      <c r="D21" s="18">
        <f>C6*C8</f>
        <v>21870000</v>
      </c>
    </row>
    <row r="23" spans="1:7" x14ac:dyDescent="0.25">
      <c r="A23" s="4" t="s">
        <v>55</v>
      </c>
      <c r="B23" s="4"/>
      <c r="C23" s="4"/>
      <c r="D23" s="4"/>
      <c r="E23" s="4"/>
      <c r="F23" s="4"/>
      <c r="G23" s="4"/>
    </row>
    <row r="24" spans="1:7" x14ac:dyDescent="0.25">
      <c r="A24" s="7" t="s">
        <v>45</v>
      </c>
      <c r="B24" s="7" t="s">
        <v>46</v>
      </c>
      <c r="C24" s="7" t="s">
        <v>56</v>
      </c>
      <c r="D24" s="7" t="s">
        <v>5</v>
      </c>
    </row>
    <row r="25" spans="1:7" x14ac:dyDescent="0.25">
      <c r="A25" s="8" t="s">
        <v>49</v>
      </c>
      <c r="B25" s="8" t="s">
        <v>57</v>
      </c>
      <c r="C25" s="8" t="s">
        <v>58</v>
      </c>
      <c r="D25" s="19">
        <f>C6/(1+C10*C11/365)</f>
        <v>19607843.137254901</v>
      </c>
    </row>
    <row r="26" spans="1:7" x14ac:dyDescent="0.25">
      <c r="A26" s="8" t="s">
        <v>59</v>
      </c>
      <c r="B26" s="8" t="s">
        <v>60</v>
      </c>
      <c r="C26" s="8" t="s">
        <v>61</v>
      </c>
      <c r="D26" s="20">
        <f>D25*C7</f>
        <v>22635294.117647059</v>
      </c>
    </row>
    <row r="27" spans="1:7" x14ac:dyDescent="0.25">
      <c r="A27" s="8" t="s">
        <v>62</v>
      </c>
      <c r="B27" s="8" t="s">
        <v>63</v>
      </c>
      <c r="C27" s="8" t="s">
        <v>64</v>
      </c>
      <c r="D27" s="18">
        <f>D26*(1+C9*C11/365)</f>
        <v>23484117.647058826</v>
      </c>
    </row>
    <row r="28" spans="1:7" x14ac:dyDescent="0.25">
      <c r="A28" s="9" t="s">
        <v>65</v>
      </c>
      <c r="B28" s="9" t="s">
        <v>66</v>
      </c>
      <c r="C28" s="8" t="s">
        <v>67</v>
      </c>
      <c r="D28" s="18">
        <f>D27</f>
        <v>23484117.647058826</v>
      </c>
    </row>
    <row r="29" spans="1:7" x14ac:dyDescent="0.25">
      <c r="A29" s="9" t="s">
        <v>68</v>
      </c>
      <c r="B29" s="8" t="s">
        <v>69</v>
      </c>
      <c r="C29" s="20">
        <f>D28-D21</f>
        <v>1614117.6470588259</v>
      </c>
      <c r="D29" s="8" t="str">
        <f>IF(ABS(D28-D21)&gt;10000,"⚠ Check rates – CIP gap","✓ Parity OK")</f>
        <v>⚠ Check rates – CIP gap</v>
      </c>
    </row>
    <row r="31" spans="1:7" x14ac:dyDescent="0.25">
      <c r="A31" s="4" t="s">
        <v>70</v>
      </c>
      <c r="B31" s="4"/>
      <c r="C31" s="4"/>
      <c r="D31" s="4"/>
      <c r="E31" s="4"/>
      <c r="F31" s="4"/>
      <c r="G31" s="4"/>
    </row>
    <row r="32" spans="1:7" x14ac:dyDescent="0.25">
      <c r="A32" s="7" t="s">
        <v>71</v>
      </c>
      <c r="B32" s="7" t="s">
        <v>56</v>
      </c>
      <c r="C32" s="7" t="s">
        <v>72</v>
      </c>
      <c r="D32" s="7" t="s">
        <v>73</v>
      </c>
    </row>
    <row r="33" spans="1:7" x14ac:dyDescent="0.25">
      <c r="A33" s="8" t="s">
        <v>74</v>
      </c>
      <c r="B33" s="8">
        <f>C13*C6</f>
        <v>380000</v>
      </c>
      <c r="C33" s="18">
        <f>C13*C6</f>
        <v>380000</v>
      </c>
      <c r="D33" s="8" t="s">
        <v>75</v>
      </c>
    </row>
    <row r="34" spans="1:7" x14ac:dyDescent="0.25">
      <c r="A34" s="8" t="s">
        <v>76</v>
      </c>
      <c r="B34" s="8">
        <f>C15*C6</f>
        <v>200000</v>
      </c>
      <c r="C34" s="18">
        <f>C15*C6</f>
        <v>200000</v>
      </c>
      <c r="D34" s="8" t="s">
        <v>77</v>
      </c>
    </row>
    <row r="35" spans="1:7" x14ac:dyDescent="0.25">
      <c r="A35" s="8" t="s">
        <v>78</v>
      </c>
      <c r="B35" s="8">
        <f>C33-C34</f>
        <v>180000</v>
      </c>
      <c r="C35" s="18">
        <f>C33-C34</f>
        <v>180000</v>
      </c>
      <c r="D35" s="8" t="s">
        <v>79</v>
      </c>
    </row>
    <row r="36" spans="1:7" x14ac:dyDescent="0.25">
      <c r="A36" s="8" t="s">
        <v>80</v>
      </c>
      <c r="B36" s="8">
        <f>MAX(C7,C12)*C6-C33</f>
        <v>22708000</v>
      </c>
      <c r="C36" s="18">
        <f>MAX(C7,C12)*C6-C33</f>
        <v>22708000</v>
      </c>
      <c r="D36" s="8" t="s">
        <v>81</v>
      </c>
    </row>
    <row r="37" spans="1:7" x14ac:dyDescent="0.25">
      <c r="A37" s="8" t="s">
        <v>82</v>
      </c>
      <c r="B37" s="8">
        <f>C12*C6-C35</f>
        <v>22908000</v>
      </c>
      <c r="C37" s="18">
        <f>C12*C6-C35</f>
        <v>22908000</v>
      </c>
      <c r="D37" s="8" t="s">
        <v>83</v>
      </c>
    </row>
    <row r="38" spans="1:7" x14ac:dyDescent="0.25">
      <c r="A38" s="8" t="s">
        <v>84</v>
      </c>
      <c r="B38" s="8">
        <f>C14*C6-C35</f>
        <v>23820000</v>
      </c>
      <c r="C38" s="18">
        <f>C14*C6-C35</f>
        <v>23820000</v>
      </c>
      <c r="D38" s="8" t="s">
        <v>85</v>
      </c>
    </row>
    <row r="41" spans="1:7" x14ac:dyDescent="0.25">
      <c r="A41" s="4" t="s">
        <v>86</v>
      </c>
      <c r="B41" s="4"/>
      <c r="C41" s="4"/>
      <c r="D41" s="4"/>
      <c r="E41" s="4"/>
      <c r="F41" s="4"/>
      <c r="G41" s="4"/>
    </row>
    <row r="42" spans="1:7" x14ac:dyDescent="0.25">
      <c r="A42" s="7" t="s">
        <v>87</v>
      </c>
      <c r="B42" s="7" t="s">
        <v>88</v>
      </c>
      <c r="C42" s="7" t="s">
        <v>89</v>
      </c>
      <c r="D42" s="7" t="s">
        <v>90</v>
      </c>
      <c r="E42" s="7" t="s">
        <v>91</v>
      </c>
      <c r="F42" s="7" t="s">
        <v>92</v>
      </c>
      <c r="G42" s="7" t="s">
        <v>93</v>
      </c>
    </row>
    <row r="43" spans="1:7" x14ac:dyDescent="0.25">
      <c r="A43" s="21">
        <v>0.95</v>
      </c>
      <c r="B43" s="16">
        <f>A43*C7</f>
        <v>1.0966800000000001</v>
      </c>
      <c r="C43" s="20">
        <f>B43*C6</f>
        <v>21933600.000000004</v>
      </c>
      <c r="D43" s="20">
        <f>C6*C8</f>
        <v>21870000</v>
      </c>
      <c r="E43" s="20">
        <f>C6/(1+C10*C11/365)*C7*(1+C9*C11/365)</f>
        <v>23484117.647058826</v>
      </c>
      <c r="F43" s="20">
        <f>MAX(B43,C12)*C6-C13*C6</f>
        <v>22708000</v>
      </c>
      <c r="G43" s="20">
        <f>MIN(MAX(B43,C12),C14)*C6-(C13-C15)*C6</f>
        <v>22908000</v>
      </c>
    </row>
    <row r="44" spans="1:7" x14ac:dyDescent="0.25">
      <c r="A44" s="21">
        <v>0.96</v>
      </c>
      <c r="B44" s="16">
        <f>A44*C7</f>
        <v>1.1082240000000001</v>
      </c>
      <c r="C44" s="20">
        <f>B44*C6</f>
        <v>22164480.000000004</v>
      </c>
      <c r="D44" s="20">
        <f>C6*C8</f>
        <v>21870000</v>
      </c>
      <c r="E44" s="20">
        <f>C6/(1+C10*C11/365)*C7*(1+C9*C11/365)</f>
        <v>23484117.647058826</v>
      </c>
      <c r="F44" s="20">
        <f>MAX(B44,C12)*C6-C13*C6</f>
        <v>22708000</v>
      </c>
      <c r="G44" s="20">
        <f>MIN(MAX(B44,C12),C14)*C6-(C13-C15)*C6</f>
        <v>22908000</v>
      </c>
    </row>
    <row r="45" spans="1:7" x14ac:dyDescent="0.25">
      <c r="A45" s="21">
        <v>0.97</v>
      </c>
      <c r="B45" s="16">
        <f>A45*C7</f>
        <v>1.1197680000000001</v>
      </c>
      <c r="C45" s="20">
        <f>B45*C6</f>
        <v>22395360.000000004</v>
      </c>
      <c r="D45" s="20">
        <f>C6*C8</f>
        <v>21870000</v>
      </c>
      <c r="E45" s="20">
        <f>C6/(1+C10*C11/365)*C7*(1+C9*C11/365)</f>
        <v>23484117.647058826</v>
      </c>
      <c r="F45" s="20">
        <f>MAX(B45,C12)*C6-C13*C6</f>
        <v>22708000</v>
      </c>
      <c r="G45" s="20">
        <f>MIN(MAX(B45,C12),C14)*C6-(C13-C15)*C6</f>
        <v>22908000</v>
      </c>
    </row>
    <row r="46" spans="1:7" x14ac:dyDescent="0.25">
      <c r="A46" s="21">
        <v>0.98</v>
      </c>
      <c r="B46" s="16">
        <f>A46*C7</f>
        <v>1.1313120000000001</v>
      </c>
      <c r="C46" s="20">
        <f>B46*C6</f>
        <v>22626240.000000004</v>
      </c>
      <c r="D46" s="20">
        <f>C6*C8</f>
        <v>21870000</v>
      </c>
      <c r="E46" s="20">
        <f>C6/(1+C10*C11/365)*C7*(1+C9*C11/365)</f>
        <v>23484117.647058826</v>
      </c>
      <c r="F46" s="20">
        <f>MAX(B46,C12)*C6-C13*C6</f>
        <v>22708000</v>
      </c>
      <c r="G46" s="20">
        <f>MIN(MAX(B46,C12),C14)*C6-(C13-C15)*C6</f>
        <v>22908000</v>
      </c>
    </row>
    <row r="47" spans="1:7" x14ac:dyDescent="0.25">
      <c r="A47" s="21">
        <v>0.99</v>
      </c>
      <c r="B47" s="16">
        <f>A47*C7</f>
        <v>1.1428560000000001</v>
      </c>
      <c r="C47" s="20">
        <f>B47*C6</f>
        <v>22857120.000000004</v>
      </c>
      <c r="D47" s="20">
        <f>C6*C8</f>
        <v>21870000</v>
      </c>
      <c r="E47" s="20">
        <f>C6/(1+C10*C11/365)*C7*(1+C9*C11/365)</f>
        <v>23484117.647058826</v>
      </c>
      <c r="F47" s="20">
        <f>MAX(B47,C12)*C6-C13*C6</f>
        <v>22708000</v>
      </c>
      <c r="G47" s="20">
        <f>MIN(MAX(B47,C12),C14)*C6-(C13-C15)*C6</f>
        <v>22908000</v>
      </c>
    </row>
    <row r="48" spans="1:7" x14ac:dyDescent="0.25">
      <c r="A48" s="22">
        <v>1</v>
      </c>
      <c r="B48" s="23">
        <f>A48*C7</f>
        <v>1.1544000000000001</v>
      </c>
      <c r="C48" s="24">
        <f>B48*C6</f>
        <v>23088000</v>
      </c>
      <c r="D48" s="24">
        <f>C6*C8</f>
        <v>21870000</v>
      </c>
      <c r="E48" s="24">
        <f>C6/(1+C10*C11/365)*C7*(1+C9*C11/365)</f>
        <v>23484117.647058826</v>
      </c>
      <c r="F48" s="24">
        <f>MAX(B48,C12)*C6-C13*C6</f>
        <v>22708000</v>
      </c>
      <c r="G48" s="24">
        <f>MIN(MAX(B48,C12),C14)*C6-(C13-C15)*C6</f>
        <v>22908000</v>
      </c>
    </row>
    <row r="49" spans="1:7" x14ac:dyDescent="0.25">
      <c r="A49" s="21">
        <v>1.01</v>
      </c>
      <c r="B49" s="16">
        <f>A49*C7</f>
        <v>1.1659440000000001</v>
      </c>
      <c r="C49" s="20">
        <f>B49*C6</f>
        <v>23318880</v>
      </c>
      <c r="D49" s="20">
        <f>C6*C8</f>
        <v>21870000</v>
      </c>
      <c r="E49" s="20">
        <f>C6/(1+C10*C11/365)*C7*(1+C9*C11/365)</f>
        <v>23484117.647058826</v>
      </c>
      <c r="F49" s="20">
        <f>MAX(B49,C12)*C6-C13*C6</f>
        <v>22938880</v>
      </c>
      <c r="G49" s="20">
        <f>MIN(MAX(B49,C12),C14)*C6-(C13-C15)*C6</f>
        <v>23138880</v>
      </c>
    </row>
    <row r="50" spans="1:7" x14ac:dyDescent="0.25">
      <c r="A50" s="21">
        <v>1.02</v>
      </c>
      <c r="B50" s="16">
        <f>A50*C7</f>
        <v>1.1774880000000001</v>
      </c>
      <c r="C50" s="20">
        <f>B50*C6</f>
        <v>23549760</v>
      </c>
      <c r="D50" s="20">
        <f>C6*C8</f>
        <v>21870000</v>
      </c>
      <c r="E50" s="20">
        <f>C6/(1+C10*C11/365)*C7*(1+C9*C11/365)</f>
        <v>23484117.647058826</v>
      </c>
      <c r="F50" s="20">
        <f>MAX(B50,C12)*C6-C13*C6</f>
        <v>23169760</v>
      </c>
      <c r="G50" s="20">
        <f>MIN(MAX(B50,C12),C14)*C6-(C13-C15)*C6</f>
        <v>23369760</v>
      </c>
    </row>
    <row r="51" spans="1:7" x14ac:dyDescent="0.25">
      <c r="A51" s="21">
        <v>1.03</v>
      </c>
      <c r="B51" s="16">
        <f>A51*C7</f>
        <v>1.1890320000000001</v>
      </c>
      <c r="C51" s="20">
        <f>B51*C6</f>
        <v>23780640</v>
      </c>
      <c r="D51" s="20">
        <f>C6*C8</f>
        <v>21870000</v>
      </c>
      <c r="E51" s="20">
        <f>C6/(1+C10*C11/365)*C7*(1+C9*C11/365)</f>
        <v>23484117.647058826</v>
      </c>
      <c r="F51" s="20">
        <f>MAX(B51,C12)*C6-C13*C6</f>
        <v>23400640</v>
      </c>
      <c r="G51" s="20">
        <f>MIN(MAX(B51,C12),C14)*C6-(C13-C15)*C6</f>
        <v>23600640</v>
      </c>
    </row>
    <row r="52" spans="1:7" x14ac:dyDescent="0.25">
      <c r="A52" s="21">
        <v>1.04</v>
      </c>
      <c r="B52" s="16">
        <f>A52*C7</f>
        <v>1.2005760000000001</v>
      </c>
      <c r="C52" s="20">
        <f>B52*C6</f>
        <v>24011520</v>
      </c>
      <c r="D52" s="20">
        <f>C6*C8</f>
        <v>21870000</v>
      </c>
      <c r="E52" s="20">
        <f>C6/(1+C10*C11/365)*C7*(1+C9*C11/365)</f>
        <v>23484117.647058826</v>
      </c>
      <c r="F52" s="20">
        <f>MAX(B52,C12)*C6-C13*C6</f>
        <v>23631520</v>
      </c>
      <c r="G52" s="20">
        <f>MIN(MAX(B52,C12),C14)*C6-(C13-C15)*C6</f>
        <v>23820000</v>
      </c>
    </row>
    <row r="53" spans="1:7" x14ac:dyDescent="0.25">
      <c r="A53" s="21">
        <v>1.05</v>
      </c>
      <c r="B53" s="16">
        <f>A53*C7</f>
        <v>1.2121200000000001</v>
      </c>
      <c r="C53" s="20">
        <f>B53*C6</f>
        <v>24242400</v>
      </c>
      <c r="D53" s="20">
        <f>C6*C8</f>
        <v>21870000</v>
      </c>
      <c r="E53" s="20">
        <f>C6/(1+C10*C11/365)*C7*(1+C9*C11/365)</f>
        <v>23484117.647058826</v>
      </c>
      <c r="F53" s="20">
        <f>MAX(B53,C12)*C6-C13*C6</f>
        <v>23862400</v>
      </c>
      <c r="G53" s="20">
        <f>MIN(MAX(B53,C12),C14)*C6-(C13-C15)*C6</f>
        <v>23820000</v>
      </c>
    </row>
    <row r="75" spans="1:7" x14ac:dyDescent="0.25">
      <c r="A75" s="4" t="s">
        <v>94</v>
      </c>
      <c r="B75" s="4"/>
      <c r="C75" s="4"/>
      <c r="D75" s="4"/>
      <c r="E75" s="4"/>
      <c r="F75" s="4"/>
      <c r="G75" s="4"/>
    </row>
    <row r="76" spans="1:7" x14ac:dyDescent="0.25">
      <c r="A76" s="7" t="s">
        <v>95</v>
      </c>
      <c r="B76" s="7" t="s">
        <v>96</v>
      </c>
      <c r="C76" s="7" t="s">
        <v>97</v>
      </c>
      <c r="D76" s="7" t="s">
        <v>98</v>
      </c>
      <c r="E76" s="7" t="s">
        <v>99</v>
      </c>
    </row>
    <row r="77" spans="1:7" x14ac:dyDescent="0.25">
      <c r="A77" s="25" t="s">
        <v>100</v>
      </c>
      <c r="B77" s="26">
        <f>C48</f>
        <v>23088000</v>
      </c>
      <c r="C77" s="27" t="s">
        <v>51</v>
      </c>
      <c r="D77" s="28" t="s">
        <v>51</v>
      </c>
      <c r="E77" s="29" t="s">
        <v>101</v>
      </c>
    </row>
    <row r="78" spans="1:7" x14ac:dyDescent="0.25">
      <c r="A78" s="29" t="s">
        <v>102</v>
      </c>
      <c r="B78" s="26">
        <f>D48</f>
        <v>21870000</v>
      </c>
      <c r="C78" s="27">
        <f>B78-B77</f>
        <v>-1218000</v>
      </c>
      <c r="D78" s="28">
        <f>C78/B77</f>
        <v>-5.2754677754677758E-2</v>
      </c>
      <c r="E78" s="29" t="s">
        <v>103</v>
      </c>
    </row>
    <row r="79" spans="1:7" x14ac:dyDescent="0.25">
      <c r="A79" s="29" t="s">
        <v>104</v>
      </c>
      <c r="B79" s="26">
        <f>E48</f>
        <v>23484117.647058826</v>
      </c>
      <c r="C79" s="27">
        <f>B79-B77</f>
        <v>396117.64705882594</v>
      </c>
      <c r="D79" s="28">
        <f>C79/B77</f>
        <v>1.7156862745098145E-2</v>
      </c>
      <c r="E79" s="29" t="s">
        <v>105</v>
      </c>
    </row>
    <row r="80" spans="1:7" x14ac:dyDescent="0.25">
      <c r="A80" s="29" t="s">
        <v>106</v>
      </c>
      <c r="B80" s="26">
        <f>F48</f>
        <v>22708000</v>
      </c>
      <c r="C80" s="27">
        <f>B80-B77</f>
        <v>-380000</v>
      </c>
      <c r="D80" s="28">
        <f>C80/B77</f>
        <v>-1.6458766458766459E-2</v>
      </c>
      <c r="E80" s="29" t="s">
        <v>107</v>
      </c>
    </row>
    <row r="81" spans="1:5" x14ac:dyDescent="0.25">
      <c r="A81" s="29" t="s">
        <v>108</v>
      </c>
      <c r="B81" s="26">
        <f>G48</f>
        <v>22908000</v>
      </c>
      <c r="C81" s="27">
        <f>B81-B77</f>
        <v>-180000</v>
      </c>
      <c r="D81" s="28">
        <f>C81/B77</f>
        <v>-7.7962577962577967E-3</v>
      </c>
      <c r="E81" s="29" t="s">
        <v>109</v>
      </c>
    </row>
    <row r="82" spans="1:5" x14ac:dyDescent="0.25">
      <c r="A82" s="3" t="s">
        <v>110</v>
      </c>
      <c r="B82" s="3"/>
      <c r="C82" s="2" t="s">
        <v>111</v>
      </c>
      <c r="D82" s="2"/>
      <c r="E82" s="2"/>
    </row>
  </sheetData>
  <mergeCells count="10">
    <mergeCell ref="A31:G31"/>
    <mergeCell ref="A41:G41"/>
    <mergeCell ref="A75:G75"/>
    <mergeCell ref="A82:B82"/>
    <mergeCell ref="C82:E82"/>
    <mergeCell ref="A1:H1"/>
    <mergeCell ref="A2:H2"/>
    <mergeCell ref="A4:G4"/>
    <mergeCell ref="A18:G18"/>
    <mergeCell ref="A23:G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zoomScaleNormal="100" workbookViewId="0">
      <pane ySplit="2" topLeftCell="A3" activePane="bottomLeft" state="frozen"/>
      <selection pane="bottomLeft" activeCell="A3" sqref="A3"/>
    </sheetView>
  </sheetViews>
  <sheetFormatPr defaultColWidth="8.7109375" defaultRowHeight="15" x14ac:dyDescent="0.25"/>
  <cols>
    <col min="1" max="1" width="24" customWidth="1"/>
    <col min="2" max="2" width="28" customWidth="1"/>
    <col min="3" max="3" width="70" customWidth="1"/>
  </cols>
  <sheetData>
    <row r="1" spans="1:5" ht="19.5" customHeight="1" x14ac:dyDescent="0.25">
      <c r="A1" s="1" t="s">
        <v>112</v>
      </c>
      <c r="B1" s="1"/>
      <c r="C1" s="1"/>
      <c r="D1" s="1"/>
      <c r="E1" s="1"/>
    </row>
    <row r="2" spans="1:5" ht="15" customHeight="1" x14ac:dyDescent="0.25">
      <c r="A2" s="7" t="s">
        <v>113</v>
      </c>
      <c r="B2" s="7" t="s">
        <v>71</v>
      </c>
      <c r="C2" s="7" t="s">
        <v>114</v>
      </c>
    </row>
    <row r="3" spans="1:5" ht="15" customHeight="1" x14ac:dyDescent="0.25">
      <c r="A3" s="8" t="s">
        <v>115</v>
      </c>
      <c r="B3" s="9" t="s">
        <v>116</v>
      </c>
      <c r="C3" s="8" t="s">
        <v>117</v>
      </c>
    </row>
    <row r="4" spans="1:5" ht="15" customHeight="1" x14ac:dyDescent="0.25">
      <c r="A4" s="8" t="s">
        <v>115</v>
      </c>
      <c r="B4" s="9" t="s">
        <v>118</v>
      </c>
      <c r="C4" s="8" t="s">
        <v>119</v>
      </c>
    </row>
    <row r="5" spans="1:5" ht="15" customHeight="1" x14ac:dyDescent="0.25">
      <c r="A5" s="8" t="s">
        <v>115</v>
      </c>
      <c r="B5" s="9" t="s">
        <v>120</v>
      </c>
      <c r="C5" s="8" t="s">
        <v>121</v>
      </c>
    </row>
    <row r="6" spans="1:5" ht="15" customHeight="1" x14ac:dyDescent="0.25">
      <c r="A6" s="8" t="s">
        <v>115</v>
      </c>
      <c r="B6" s="9" t="s">
        <v>122</v>
      </c>
      <c r="C6" s="8" t="s">
        <v>123</v>
      </c>
    </row>
    <row r="7" spans="1:5" ht="15" customHeight="1" x14ac:dyDescent="0.25">
      <c r="A7" s="8" t="s">
        <v>124</v>
      </c>
      <c r="B7" s="9" t="s">
        <v>125</v>
      </c>
      <c r="C7" s="8" t="s">
        <v>126</v>
      </c>
    </row>
    <row r="8" spans="1:5" ht="15" customHeight="1" x14ac:dyDescent="0.25">
      <c r="A8" s="8" t="s">
        <v>124</v>
      </c>
      <c r="B8" s="9" t="s">
        <v>127</v>
      </c>
      <c r="C8" s="8" t="s">
        <v>128</v>
      </c>
    </row>
    <row r="9" spans="1:5" ht="15" customHeight="1" x14ac:dyDescent="0.25">
      <c r="A9" s="8" t="s">
        <v>124</v>
      </c>
      <c r="B9" s="9" t="s">
        <v>129</v>
      </c>
      <c r="C9" s="8" t="s">
        <v>130</v>
      </c>
    </row>
    <row r="10" spans="1:5" ht="15" customHeight="1" x14ac:dyDescent="0.25">
      <c r="A10" s="8" t="s">
        <v>124</v>
      </c>
      <c r="B10" s="9" t="s">
        <v>131</v>
      </c>
      <c r="C10" s="8" t="s">
        <v>132</v>
      </c>
    </row>
    <row r="11" spans="1:5" ht="15" customHeight="1" x14ac:dyDescent="0.25">
      <c r="A11" s="8" t="s">
        <v>124</v>
      </c>
      <c r="B11" s="9" t="s">
        <v>133</v>
      </c>
      <c r="C11" s="8" t="s">
        <v>134</v>
      </c>
    </row>
    <row r="12" spans="1:5" ht="15" customHeight="1" x14ac:dyDescent="0.25">
      <c r="A12" s="8" t="s">
        <v>135</v>
      </c>
      <c r="B12" s="9" t="s">
        <v>136</v>
      </c>
      <c r="C12" s="8" t="s">
        <v>137</v>
      </c>
    </row>
    <row r="13" spans="1:5" ht="15" customHeight="1" x14ac:dyDescent="0.25">
      <c r="A13" s="8" t="s">
        <v>135</v>
      </c>
      <c r="B13" s="9" t="s">
        <v>33</v>
      </c>
      <c r="C13" s="8" t="s">
        <v>138</v>
      </c>
    </row>
    <row r="14" spans="1:5" ht="15" customHeight="1" x14ac:dyDescent="0.25">
      <c r="A14" s="8" t="s">
        <v>135</v>
      </c>
      <c r="B14" s="9" t="s">
        <v>139</v>
      </c>
      <c r="C14" s="8" t="s">
        <v>140</v>
      </c>
    </row>
    <row r="15" spans="1:5" ht="15" customHeight="1" x14ac:dyDescent="0.25">
      <c r="A15" s="8" t="s">
        <v>135</v>
      </c>
      <c r="B15" s="9" t="s">
        <v>141</v>
      </c>
      <c r="C15" s="8" t="s">
        <v>142</v>
      </c>
    </row>
    <row r="16" spans="1:5" ht="15" customHeight="1" x14ac:dyDescent="0.25">
      <c r="A16" s="8" t="s">
        <v>135</v>
      </c>
      <c r="B16" s="9" t="s">
        <v>143</v>
      </c>
      <c r="C16" s="8" t="s">
        <v>144</v>
      </c>
    </row>
    <row r="17" spans="1:3" ht="15" customHeight="1" x14ac:dyDescent="0.25">
      <c r="A17" s="8" t="s">
        <v>145</v>
      </c>
      <c r="B17" s="9" t="s">
        <v>146</v>
      </c>
      <c r="C17" s="8" t="s">
        <v>147</v>
      </c>
    </row>
    <row r="18" spans="1:3" ht="15" customHeight="1" x14ac:dyDescent="0.25">
      <c r="A18" s="8" t="s">
        <v>145</v>
      </c>
      <c r="B18" s="9" t="s">
        <v>148</v>
      </c>
      <c r="C18" s="8" t="s">
        <v>149</v>
      </c>
    </row>
    <row r="19" spans="1:3" ht="15" customHeight="1" x14ac:dyDescent="0.25">
      <c r="A19" s="8" t="s">
        <v>145</v>
      </c>
      <c r="B19" s="9" t="s">
        <v>150</v>
      </c>
      <c r="C19" s="8" t="s">
        <v>151</v>
      </c>
    </row>
    <row r="20" spans="1:3" ht="15" customHeight="1" x14ac:dyDescent="0.25">
      <c r="A20" s="8" t="s">
        <v>145</v>
      </c>
      <c r="B20" s="9" t="s">
        <v>152</v>
      </c>
      <c r="C20" s="8" t="s">
        <v>153</v>
      </c>
    </row>
    <row r="21" spans="1:3" ht="15" customHeight="1" x14ac:dyDescent="0.25">
      <c r="A21" s="8" t="s">
        <v>145</v>
      </c>
      <c r="B21" s="9" t="s">
        <v>154</v>
      </c>
      <c r="C21" s="8" t="s">
        <v>155</v>
      </c>
    </row>
    <row r="22" spans="1:3" ht="15" customHeight="1" x14ac:dyDescent="0.25">
      <c r="A22" s="8" t="s">
        <v>145</v>
      </c>
      <c r="B22" s="9" t="s">
        <v>156</v>
      </c>
      <c r="C22" s="8" t="s">
        <v>157</v>
      </c>
    </row>
    <row r="23" spans="1:3" ht="15" customHeight="1" x14ac:dyDescent="0.25">
      <c r="A23" s="8" t="s">
        <v>158</v>
      </c>
      <c r="B23" s="9" t="s">
        <v>159</v>
      </c>
      <c r="C23" s="8" t="s">
        <v>160</v>
      </c>
    </row>
    <row r="24" spans="1:3" ht="15" customHeight="1" x14ac:dyDescent="0.25">
      <c r="A24" s="8" t="s">
        <v>158</v>
      </c>
      <c r="B24" s="9" t="s">
        <v>161</v>
      </c>
      <c r="C24" s="8" t="s">
        <v>162</v>
      </c>
    </row>
    <row r="25" spans="1:3" ht="15" customHeight="1" x14ac:dyDescent="0.25">
      <c r="A25" s="8" t="s">
        <v>158</v>
      </c>
      <c r="B25" s="9" t="s">
        <v>163</v>
      </c>
      <c r="C25" s="8" t="s">
        <v>164</v>
      </c>
    </row>
    <row r="26" spans="1:3" ht="15" customHeight="1" x14ac:dyDescent="0.25">
      <c r="A26" s="8" t="s">
        <v>158</v>
      </c>
      <c r="B26" s="9" t="s">
        <v>165</v>
      </c>
      <c r="C26" s="8" t="s">
        <v>166</v>
      </c>
    </row>
    <row r="27" spans="1:3" ht="15" customHeight="1" x14ac:dyDescent="0.25">
      <c r="A27" s="8" t="s">
        <v>167</v>
      </c>
      <c r="B27" s="9" t="s">
        <v>95</v>
      </c>
      <c r="C27" s="8" t="s">
        <v>168</v>
      </c>
    </row>
    <row r="28" spans="1:3" ht="15" customHeight="1" x14ac:dyDescent="0.25">
      <c r="A28" s="8" t="s">
        <v>167</v>
      </c>
      <c r="B28" s="9" t="s">
        <v>169</v>
      </c>
      <c r="C28" s="8" t="s">
        <v>170</v>
      </c>
    </row>
    <row r="29" spans="1:3" ht="15" customHeight="1" x14ac:dyDescent="0.25">
      <c r="A29" s="8" t="s">
        <v>167</v>
      </c>
      <c r="B29" s="9" t="s">
        <v>171</v>
      </c>
      <c r="C29" s="8" t="s">
        <v>172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FX Hedge Model</vt:lpstr>
      <vt:lpstr>Notes &amp; Assumptions</vt:lpstr>
      <vt:lpstr>F0</vt:lpstr>
      <vt:lpstr>FC_AMT</vt:lpstr>
      <vt:lpstr>K_CALL</vt:lpstr>
      <vt:lpstr>K_PUT</vt:lpstr>
      <vt:lpstr>PREM_CALL</vt:lpstr>
      <vt:lpstr>PREM_PUT</vt:lpstr>
      <vt:lpstr>R_EUR</vt:lpstr>
      <vt:lpstr>R_USD</vt:lpstr>
      <vt:lpstr>S0</vt:lpstr>
      <vt:lpstr>T_DAYS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Matthew Furusho</cp:lastModifiedBy>
  <cp:revision>2</cp:revision>
  <dcterms:created xsi:type="dcterms:W3CDTF">2026-05-02T09:18:14Z</dcterms:created>
  <dcterms:modified xsi:type="dcterms:W3CDTF">2026-05-02T09:34:18Z</dcterms:modified>
  <dc:language>en-US</dc:language>
</cp:coreProperties>
</file>