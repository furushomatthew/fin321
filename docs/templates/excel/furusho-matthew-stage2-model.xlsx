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tt\Downloads\"/>
    </mc:Choice>
  </mc:AlternateContent>
  <xr:revisionPtr revIDLastSave="0" documentId="13_ncr:1_{DE60A9CF-7570-4491-B760-94718A09258F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FX Hedge Model" sheetId="1" r:id="rId1"/>
    <sheet name="Notes &amp; Assumptions" sheetId="2" r:id="rId2"/>
  </sheets>
  <definedNames>
    <definedName name="F0">'FX Hedge Model'!C8</definedName>
    <definedName name="FC_AMT">'FX Hedge Model'!C6</definedName>
    <definedName name="FWD_RESULT">'FX Hedge Model'!D20</definedName>
    <definedName name="K_CALL">'FX Hedge Model'!C14</definedName>
    <definedName name="K_PUT">'FX Hedge Model'!C12</definedName>
    <definedName name="MM_RESULT">'FX Hedge Model'!D27</definedName>
    <definedName name="PREM_CALL">'FX Hedge Model'!C15</definedName>
    <definedName name="PREM_PUT">'FX Hedge Model'!C13</definedName>
    <definedName name="R_EUR">'FX Hedge Model'!C10</definedName>
    <definedName name="R_USD">'FX Hedge Model'!C9</definedName>
    <definedName name="S0">'FX Hedge Model'!C7</definedName>
    <definedName name="T_DAYS">'FX Hedge Model'!C11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34" i="1" l="1"/>
  <c r="C32" i="1"/>
  <c r="B36" i="1"/>
  <c r="C25" i="1"/>
  <c r="C73" i="1"/>
  <c r="D73" i="1" s="1"/>
  <c r="B73" i="1"/>
  <c r="B72" i="1"/>
  <c r="C72" i="1" s="1"/>
  <c r="D72" i="1" s="1"/>
  <c r="B70" i="1"/>
  <c r="C70" i="1" s="1"/>
  <c r="D70" i="1" s="1"/>
  <c r="B69" i="1"/>
  <c r="G50" i="1"/>
  <c r="F50" i="1"/>
  <c r="D50" i="1"/>
  <c r="C50" i="1"/>
  <c r="B50" i="1"/>
  <c r="G49" i="1"/>
  <c r="F49" i="1"/>
  <c r="D49" i="1"/>
  <c r="C49" i="1"/>
  <c r="B49" i="1"/>
  <c r="G48" i="1"/>
  <c r="F48" i="1"/>
  <c r="D48" i="1"/>
  <c r="C48" i="1"/>
  <c r="B48" i="1"/>
  <c r="G47" i="1"/>
  <c r="F47" i="1"/>
  <c r="D47" i="1"/>
  <c r="C47" i="1"/>
  <c r="B47" i="1"/>
  <c r="G46" i="1"/>
  <c r="F46" i="1"/>
  <c r="D46" i="1"/>
  <c r="C46" i="1"/>
  <c r="B46" i="1"/>
  <c r="G45" i="1"/>
  <c r="F45" i="1"/>
  <c r="D45" i="1"/>
  <c r="C45" i="1"/>
  <c r="B45" i="1"/>
  <c r="G44" i="1"/>
  <c r="F44" i="1"/>
  <c r="D44" i="1"/>
  <c r="C44" i="1"/>
  <c r="B44" i="1"/>
  <c r="G43" i="1"/>
  <c r="F43" i="1"/>
  <c r="D43" i="1"/>
  <c r="C43" i="1"/>
  <c r="B43" i="1"/>
  <c r="G42" i="1"/>
  <c r="F42" i="1"/>
  <c r="D42" i="1"/>
  <c r="C42" i="1"/>
  <c r="B42" i="1"/>
  <c r="G41" i="1"/>
  <c r="F41" i="1"/>
  <c r="D41" i="1"/>
  <c r="C41" i="1"/>
  <c r="B41" i="1"/>
  <c r="G40" i="1"/>
  <c r="F40" i="1"/>
  <c r="D40" i="1"/>
  <c r="C40" i="1"/>
  <c r="B40" i="1"/>
  <c r="C33" i="1"/>
  <c r="D27" i="1"/>
  <c r="C28" i="1" s="1"/>
  <c r="D28" i="1" s="1"/>
  <c r="D24" i="1"/>
  <c r="C24" i="1"/>
  <c r="D25" i="1" s="1"/>
  <c r="D20" i="1"/>
  <c r="D19" i="1"/>
  <c r="C19" i="1"/>
  <c r="E41" i="1" l="1"/>
  <c r="E43" i="1"/>
  <c r="E45" i="1"/>
  <c r="E47" i="1"/>
  <c r="E49" i="1"/>
  <c r="B71" i="1"/>
  <c r="C71" i="1" s="1"/>
  <c r="D71" i="1" s="1"/>
  <c r="E40" i="1"/>
  <c r="E42" i="1"/>
  <c r="E44" i="1"/>
  <c r="E46" i="1"/>
  <c r="E48" i="1"/>
  <c r="E50" i="1"/>
  <c r="D26" i="1" l="1"/>
  <c r="C26" i="1"/>
</calcChain>
</file>

<file path=xl/sharedStrings.xml><?xml version="1.0" encoding="utf-8"?>
<sst xmlns="http://schemas.openxmlformats.org/spreadsheetml/2006/main" count="200" uniqueCount="162">
  <si>
    <t>FX RECEIVABLE HEDGE ANALYSIS – EUR/USD</t>
  </si>
  <si>
    <t>Matthew Furusho  |  Aerospace Division  |  Analysis Date: April 3, 2026  |  Payment Date: April 3, 2027</t>
  </si>
  <si>
    <t>SECTION A — INPUTS  (Yellow = Editable)</t>
  </si>
  <si>
    <t>Parameter</t>
  </si>
  <si>
    <t>Symbol</t>
  </si>
  <si>
    <t>Value</t>
  </si>
  <si>
    <t>Units</t>
  </si>
  <si>
    <t>Source / Notes</t>
  </si>
  <si>
    <t>FC Receivable Amount</t>
  </si>
  <si>
    <t>FC_AMT</t>
  </si>
  <si>
    <t>EUR</t>
  </si>
  <si>
    <t>Stage 1 memo</t>
  </si>
  <si>
    <t>Spot Rate (EUR/USD)</t>
  </si>
  <si>
    <t>S0</t>
  </si>
  <si>
    <t>USD per EUR</t>
  </si>
  <si>
    <t>Investing.com, Apr 3 2026</t>
  </si>
  <si>
    <t>1-Year Forward Rate</t>
  </si>
  <si>
    <t>F0</t>
  </si>
  <si>
    <t>Derived via CIP</t>
  </si>
  <si>
    <t>USD Interest Rate</t>
  </si>
  <si>
    <t>R_USD</t>
  </si>
  <si>
    <t>Annual</t>
  </si>
  <si>
    <t>Fed Funds (upper bound)</t>
  </si>
  <si>
    <t>EUR Interest Rate</t>
  </si>
  <si>
    <t>R_EUR</t>
  </si>
  <si>
    <t>ECB Deposit Facility</t>
  </si>
  <si>
    <t>Time Horizon (days)</t>
  </si>
  <si>
    <t>T_DAYS</t>
  </si>
  <si>
    <t>Days</t>
  </si>
  <si>
    <t>Apr 3 2026 → Apr 3 2027</t>
  </si>
  <si>
    <t>Put Strike</t>
  </si>
  <si>
    <t>K_PUT</t>
  </si>
  <si>
    <t>ATM (=S0)</t>
  </si>
  <si>
    <t>Put Premium</t>
  </si>
  <si>
    <t>PREM_PUT</t>
  </si>
  <si>
    <t>Stage 1 memo estimate</t>
  </si>
  <si>
    <t>Call Strike</t>
  </si>
  <si>
    <t>K_CALL</t>
  </si>
  <si>
    <t>OTM call (illustrative)</t>
  </si>
  <si>
    <t>Call Premium</t>
  </si>
  <si>
    <t>PREM_CALL</t>
  </si>
  <si>
    <t>Illustrative</t>
  </si>
  <si>
    <t>SECTION B — FORWARD CONTRACT HEDGE</t>
  </si>
  <si>
    <t>Step</t>
  </si>
  <si>
    <t>Description</t>
  </si>
  <si>
    <t>Formula / Value</t>
  </si>
  <si>
    <t>USD Amount</t>
  </si>
  <si>
    <t>1</t>
  </si>
  <si>
    <t>Lock in forward rate today</t>
  </si>
  <si>
    <t>2 (Output)</t>
  </si>
  <si>
    <t>USD Proceeds – Forward Hedge</t>
  </si>
  <si>
    <t>FC_AMT × F0</t>
  </si>
  <si>
    <t>SECTION C — MONEY MARKET HEDGE</t>
  </si>
  <si>
    <t>Formula</t>
  </si>
  <si>
    <t>PV of FC receivable to borrow today</t>
  </si>
  <si>
    <t>2</t>
  </si>
  <si>
    <t>Convert borrowed EUR to USD at spot</t>
  </si>
  <si>
    <t>3</t>
  </si>
  <si>
    <t>Invest USD for T days at R_USD</t>
  </si>
  <si>
    <t>4 (Output)</t>
  </si>
  <si>
    <t>USD Proceeds – Money Market Hedge</t>
  </si>
  <si>
    <t>Full chain formula</t>
  </si>
  <si>
    <t>Parity Check</t>
  </si>
  <si>
    <t>FWD vs MM difference (should be ~0)</t>
  </si>
  <si>
    <t>SECTION D — OPTION HEDGES  (Put &amp; Call)</t>
  </si>
  <si>
    <t>Item</t>
  </si>
  <si>
    <t>Notes</t>
  </si>
  <si>
    <t>Total Put Premium (USD)</t>
  </si>
  <si>
    <t>$C$13*$C$6</t>
  </si>
  <si>
    <t>Upfront cost</t>
  </si>
  <si>
    <t>Total Call Premium (USD)</t>
  </si>
  <si>
    <t>$C$15*$C$6</t>
  </si>
  <si>
    <t>Upfront cost (if collar)</t>
  </si>
  <si>
    <t>Net Collar Cost (USD)</t>
  </si>
  <si>
    <t>C32-C33</t>
  </si>
  <si>
    <t>Put bought, call sold</t>
  </si>
  <si>
    <t>Put Option – Net USD @ Maturity Spot S_T</t>
  </si>
  <si>
    <t>↑ Use sensitivity table below for S_T range</t>
  </si>
  <si>
    <t>SECTION E — SENSITIVITY TABLE  (S_T varies ±5% around S0)</t>
  </si>
  <si>
    <t>S_T Multiplier</t>
  </si>
  <si>
    <t>S_T (USD/EUR)</t>
  </si>
  <si>
    <t>Unhedged (USD)</t>
  </si>
  <si>
    <t>Forward Hedge (USD)</t>
  </si>
  <si>
    <t>MM Hedge (USD)</t>
  </si>
  <si>
    <t>Put Net Proceeds (USD)</t>
  </si>
  <si>
    <t>Collar Net Proceeds (USD)</t>
  </si>
  <si>
    <t>SECTION F — SUMMARY OUTPUT  (Gray = Outputs)</t>
  </si>
  <si>
    <t>Strategy</t>
  </si>
  <si>
    <t>USD Proceeds</t>
  </si>
  <si>
    <t>vs Unhedged (USD)</t>
  </si>
  <si>
    <t>vs Unhedged (%)</t>
  </si>
  <si>
    <t>Key Tradeoff</t>
  </si>
  <si>
    <t>Unhedged (at spot)</t>
  </si>
  <si>
    <t>—</t>
  </si>
  <si>
    <t>Full upside &amp; downside</t>
  </si>
  <si>
    <t>Forward Contract</t>
  </si>
  <si>
    <t>Certainty; no upside</t>
  </si>
  <si>
    <t>Money Market Hedge</t>
  </si>
  <si>
    <t>Replicates forward; uses B/S</t>
  </si>
  <si>
    <t>Put Option (floor at K)</t>
  </si>
  <si>
    <t>Floor + upside; costs premium</t>
  </si>
  <si>
    <t>Collar Strategy</t>
  </si>
  <si>
    <t>Bounded range; low net cost</t>
  </si>
  <si>
    <t>CFO Recommendation</t>
  </si>
  <si>
    <t>TBD – Stage 4</t>
  </si>
  <si>
    <t>Complete in Stage 4</t>
  </si>
  <si>
    <t>NOTES &amp; ASSUMPTIONS</t>
  </si>
  <si>
    <t>SECTION</t>
  </si>
  <si>
    <t>Detail</t>
  </si>
  <si>
    <t>Model Overview</t>
  </si>
  <si>
    <t>Purpose</t>
  </si>
  <si>
    <t>Compare EUR/USD FX hedge strategies for €20M receivable due Apr 3 2027</t>
  </si>
  <si>
    <t>Author</t>
  </si>
  <si>
    <t>Matthew Furusho, Aerospace Division Treasury</t>
  </si>
  <si>
    <t>Version</t>
  </si>
  <si>
    <t>1.0 – Stage 2 deliverable</t>
  </si>
  <si>
    <t>LLM Assist</t>
  </si>
  <si>
    <t>Claude (Anthropic)</t>
  </si>
  <si>
    <t>Rates &amp; Market Data</t>
  </si>
  <si>
    <t>Spot Rate (S0)</t>
  </si>
  <si>
    <t>1.1544 USD/EUR – Investing.com, April 3 2026</t>
  </si>
  <si>
    <t>Forward Rate (F0)</t>
  </si>
  <si>
    <t>1.0935 USD/EUR – Derived from CIP; consistent with 1.75% USD-EUR rate differential</t>
  </si>
  <si>
    <t>USD Rate (R_USD)</t>
  </si>
  <si>
    <t>3.75% – Fed Funds upper bound, March 2026</t>
  </si>
  <si>
    <t>EUR Rate (R_EUR)</t>
  </si>
  <si>
    <t>2.00% – ECB Deposit Facility Rate, February 2026</t>
  </si>
  <si>
    <t>Time Horizon</t>
  </si>
  <si>
    <t>365 days – exact calendar; no day-count adjustment applied</t>
  </si>
  <si>
    <t>Options</t>
  </si>
  <si>
    <t>Put Strike (K_PUT)</t>
  </si>
  <si>
    <t>1.1544 – ATM, set equal to current spot S0</t>
  </si>
  <si>
    <t>$0.019/EUR (~$380,000 total) – Stage 1 estimate; market quote needed for execution</t>
  </si>
  <si>
    <t>Call Strike (K_CALL)</t>
  </si>
  <si>
    <t>1.2000 – OTM call used for illustrative collar strategy</t>
  </si>
  <si>
    <t>$0.010/EUR – Illustrative; adjust with live quote</t>
  </si>
  <si>
    <t>Option Style</t>
  </si>
  <si>
    <t>Assumed European-style; no early exercise modeled</t>
  </si>
  <si>
    <t>Simplifications</t>
  </si>
  <si>
    <t>Bid-Ask Spreads</t>
  </si>
  <si>
    <t>Ignored – model uses mid-market rates throughout</t>
  </si>
  <si>
    <t>Transaction Costs</t>
  </si>
  <si>
    <t>Not included; add broker fees before final execution</t>
  </si>
  <si>
    <t>Compounding</t>
  </si>
  <si>
    <t>Simple interest assumed for both USD and EUR rates</t>
  </si>
  <si>
    <t>Day-Count Convention</t>
  </si>
  <si>
    <t>Actual/365 implied; rate inputs are annual flat rates</t>
  </si>
  <si>
    <t>Credit Risk</t>
  </si>
  <si>
    <t>Counterparty risk on forward/option contracts not modeled</t>
  </si>
  <si>
    <t>Balance Sheet Impact</t>
  </si>
  <si>
    <t>MM hedge draws on EUR credit facility; capacity not verified</t>
  </si>
  <si>
    <t>CIP Parity Check</t>
  </si>
  <si>
    <t>F0 = S0 × (1 + R_USD) / (1 + R_EUR)</t>
  </si>
  <si>
    <t>Expected F0</t>
  </si>
  <si>
    <t>1.1544*(1+0.0375)/(1+0.02) ≈ 1.1944  [Note: memo uses 1.0935 — confirm with desk]</t>
  </si>
  <si>
    <t>Action</t>
  </si>
  <si>
    <t>If live forward quote differs materially from CIP implied, flag to CFO</t>
  </si>
  <si>
    <t>Stage Roadmap</t>
  </si>
  <si>
    <t>Stage 3</t>
  </si>
  <si>
    <t>Technical specification documenting model logic and improved design</t>
  </si>
  <si>
    <t>Stage 4</t>
  </si>
  <si>
    <t>AI-structured prompt, hedge recommendation, CFO presentation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</si>
</sst>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0.000%"/>
    <numFmt numFmtId="166" formatCode="#,##0;\(#,##0\);\-"/>
    <numFmt numFmtId="167" formatCode="0.0%"/>
  </numFmts>
  <fonts count="8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i/>
      <sz val="10"/>
      <color rgb="FF000000"/>
      <name val="Arial"/>
      <charset val="1"/>
    </font>
    <font>
      <b/>
      <sz val="10"/>
      <color rgb="FFFFFFFF"/>
      <name val="Arial"/>
      <charset val="1"/>
    </font>
    <font>
      <sz val="10"/>
      <color rgb="FF000000"/>
      <name val="Arial"/>
      <charset val="1"/>
    </font>
    <font>
      <sz val="10"/>
      <color rgb="FF0000FF"/>
      <name val="Arial"/>
      <charset val="1"/>
    </font>
    <font>
      <b/>
      <sz val="10"/>
      <color rgb="FF000000"/>
      <name val="Arial"/>
      <charset val="1"/>
    </font>
    <font>
      <b/>
      <sz val="10"/>
      <color rgb="FFFF0000"/>
      <name val="Arial"/>
      <charset val="1"/>
    </font>
  </fonts>
  <fills count="1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2F2F2"/>
        <bgColor rgb="FFE2EFDA"/>
      </patternFill>
    </fill>
    <fill>
      <patternFill patternType="solid">
        <fgColor rgb="FFFFFF00"/>
        <bgColor rgb="FFFFFF00"/>
      </patternFill>
    </fill>
    <fill>
      <patternFill patternType="solid">
        <fgColor rgb="FF2E75B6"/>
        <bgColor rgb="FF4A7EBB"/>
      </patternFill>
    </fill>
    <fill>
      <patternFill patternType="solid">
        <fgColor rgb="FFE2EFDA"/>
        <bgColor rgb="FFF2F2F2"/>
      </patternFill>
    </fill>
    <fill>
      <patternFill patternType="solid">
        <fgColor rgb="FFD9D9D9"/>
        <bgColor rgb="FFBDD7EE"/>
      </patternFill>
    </fill>
    <fill>
      <patternFill patternType="solid">
        <fgColor rgb="FF375623"/>
        <bgColor rgb="FF333300"/>
      </patternFill>
    </fill>
    <fill>
      <patternFill patternType="solid">
        <fgColor rgb="FF7030A0"/>
        <bgColor rgb="FF7D5FA0"/>
      </patternFill>
    </fill>
    <fill>
      <patternFill patternType="solid">
        <fgColor rgb="FFC55A11"/>
        <bgColor rgb="FFBE4B48"/>
      </patternFill>
    </fill>
    <fill>
      <patternFill patternType="solid">
        <fgColor rgb="FFFFF2CC"/>
        <bgColor rgb="FFF2F2F2"/>
      </patternFill>
    </fill>
    <fill>
      <patternFill patternType="solid">
        <fgColor rgb="FFBDD7EE"/>
        <bgColor rgb="FFD9D9D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3" fillId="10" borderId="0" xfId="0" applyFont="1" applyFill="1" applyAlignment="1">
      <alignment horizontal="left" vertical="center" wrapText="1"/>
    </xf>
    <xf numFmtId="0" fontId="3" fillId="9" borderId="0" xfId="0" applyFont="1" applyFill="1" applyAlignment="1">
      <alignment horizontal="left" vertical="center" wrapText="1"/>
    </xf>
    <xf numFmtId="0" fontId="3" fillId="8" borderId="0" xfId="0" applyFont="1" applyFill="1" applyAlignment="1">
      <alignment horizontal="left" vertical="center" wrapText="1"/>
    </xf>
    <xf numFmtId="0" fontId="3" fillId="5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3" fontId="5" fillId="4" borderId="1" xfId="0" applyNumberFormat="1" applyFont="1" applyFill="1" applyBorder="1" applyAlignment="1">
      <alignment horizontal="center" vertical="center" wrapText="1"/>
    </xf>
    <xf numFmtId="164" fontId="5" fillId="4" borderId="1" xfId="0" applyNumberFormat="1" applyFont="1" applyFill="1" applyBorder="1" applyAlignment="1">
      <alignment horizontal="center" vertical="center" wrapText="1"/>
    </xf>
    <xf numFmtId="165" fontId="5" fillId="4" borderId="1" xfId="0" applyNumberFormat="1" applyFont="1" applyFill="1" applyBorder="1" applyAlignment="1">
      <alignment horizontal="center" vertical="center" wrapText="1"/>
    </xf>
    <xf numFmtId="1" fontId="5" fillId="4" borderId="1" xfId="0" applyNumberFormat="1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164" fontId="4" fillId="6" borderId="1" xfId="0" applyNumberFormat="1" applyFont="1" applyFill="1" applyBorder="1" applyAlignment="1">
      <alignment horizontal="center" vertical="center" wrapText="1"/>
    </xf>
    <xf numFmtId="166" fontId="4" fillId="6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66" fontId="6" fillId="7" borderId="1" xfId="0" applyNumberFormat="1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2" fontId="5" fillId="4" borderId="1" xfId="0" applyNumberFormat="1" applyFont="1" applyFill="1" applyBorder="1" applyAlignment="1">
      <alignment horizontal="center" vertical="center" wrapText="1"/>
    </xf>
    <xf numFmtId="164" fontId="4" fillId="11" borderId="1" xfId="0" applyNumberFormat="1" applyFont="1" applyFill="1" applyBorder="1" applyAlignment="1">
      <alignment horizontal="center" vertical="center" wrapText="1"/>
    </xf>
    <xf numFmtId="166" fontId="4" fillId="11" borderId="1" xfId="0" applyNumberFormat="1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167" fontId="6" fillId="7" borderId="1" xfId="0" applyNumberFormat="1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6" fillId="1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BE4B48"/>
      <rgbColor rgb="FFFFF2CC"/>
      <rgbColor rgb="FFF2F2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46AAC4"/>
      <rgbColor rgb="FF98B855"/>
      <rgbColor rgb="FFFFCC00"/>
      <rgbColor rgb="FFFF9900"/>
      <rgbColor rgb="FFC55A11"/>
      <rgbColor rgb="FF7D5FA0"/>
      <rgbColor rgb="FF969696"/>
      <rgbColor rgb="FF003366"/>
      <rgbColor rgb="FF4A7EBB"/>
      <rgbColor rgb="FF003300"/>
      <rgbColor rgb="FF333300"/>
      <rgbColor rgb="FF993300"/>
      <rgbColor rgb="FF7030A0"/>
      <rgbColor rgb="FF1F4E7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EUR/USD Hedge Strategy Comparison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Unhedged</c:v>
          </c:tx>
          <c:spPr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'FX Hedge Model'!$B$40:$B$50</c:f>
              <c:numCache>
                <c:formatCode>0.0000</c:formatCode>
                <c:ptCount val="11"/>
                <c:pt idx="0">
                  <c:v>1.0966800000000001</c:v>
                </c:pt>
                <c:pt idx="1">
                  <c:v>1.1082240000000001</c:v>
                </c:pt>
                <c:pt idx="2">
                  <c:v>1.1197680000000001</c:v>
                </c:pt>
                <c:pt idx="3">
                  <c:v>1.1313120000000001</c:v>
                </c:pt>
                <c:pt idx="4">
                  <c:v>1.1428560000000001</c:v>
                </c:pt>
                <c:pt idx="5">
                  <c:v>1.1544000000000001</c:v>
                </c:pt>
                <c:pt idx="6">
                  <c:v>1.1659440000000001</c:v>
                </c:pt>
                <c:pt idx="7">
                  <c:v>1.1774880000000001</c:v>
                </c:pt>
                <c:pt idx="8">
                  <c:v>1.1890320000000001</c:v>
                </c:pt>
                <c:pt idx="9">
                  <c:v>1.2005760000000001</c:v>
                </c:pt>
                <c:pt idx="10">
                  <c:v>1.2121200000000001</c:v>
                </c:pt>
              </c:numCache>
            </c:numRef>
          </c:cat>
          <c:val>
            <c:numRef>
              <c:f>'FX Hedge Model'!$C$40:$C$50</c:f>
              <c:numCache>
                <c:formatCode>#,##0;\(#,##0\);\-</c:formatCode>
                <c:ptCount val="11"/>
                <c:pt idx="0">
                  <c:v>21933600.000000004</c:v>
                </c:pt>
                <c:pt idx="1">
                  <c:v>22164480.000000004</c:v>
                </c:pt>
                <c:pt idx="2">
                  <c:v>22395360.000000004</c:v>
                </c:pt>
                <c:pt idx="3">
                  <c:v>22626240.000000004</c:v>
                </c:pt>
                <c:pt idx="4">
                  <c:v>22857120.000000004</c:v>
                </c:pt>
                <c:pt idx="5">
                  <c:v>23088000</c:v>
                </c:pt>
                <c:pt idx="6">
                  <c:v>23318880</c:v>
                </c:pt>
                <c:pt idx="7">
                  <c:v>23549760</c:v>
                </c:pt>
                <c:pt idx="8">
                  <c:v>23780640</c:v>
                </c:pt>
                <c:pt idx="9">
                  <c:v>24011520</c:v>
                </c:pt>
                <c:pt idx="10">
                  <c:v>24242400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849-46EC-BBE3-4C5B8782241B}"/>
            </c:ext>
          </c:extLst>
        </c:ser>
        <c:ser>
          <c:idx val="1"/>
          <c:order val="1"/>
          <c:tx>
            <c:v>Forward</c:v>
          </c:tx>
          <c:spPr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'FX Hedge Model'!$B$40:$B$50</c:f>
              <c:numCache>
                <c:formatCode>0.0000</c:formatCode>
                <c:ptCount val="11"/>
                <c:pt idx="0">
                  <c:v>1.0966800000000001</c:v>
                </c:pt>
                <c:pt idx="1">
                  <c:v>1.1082240000000001</c:v>
                </c:pt>
                <c:pt idx="2">
                  <c:v>1.1197680000000001</c:v>
                </c:pt>
                <c:pt idx="3">
                  <c:v>1.1313120000000001</c:v>
                </c:pt>
                <c:pt idx="4">
                  <c:v>1.1428560000000001</c:v>
                </c:pt>
                <c:pt idx="5">
                  <c:v>1.1544000000000001</c:v>
                </c:pt>
                <c:pt idx="6">
                  <c:v>1.1659440000000001</c:v>
                </c:pt>
                <c:pt idx="7">
                  <c:v>1.1774880000000001</c:v>
                </c:pt>
                <c:pt idx="8">
                  <c:v>1.1890320000000001</c:v>
                </c:pt>
                <c:pt idx="9">
                  <c:v>1.2005760000000001</c:v>
                </c:pt>
                <c:pt idx="10">
                  <c:v>1.2121200000000001</c:v>
                </c:pt>
              </c:numCache>
            </c:numRef>
          </c:cat>
          <c:val>
            <c:numRef>
              <c:f>'FX Hedge Model'!$D$40:$D$50</c:f>
              <c:numCache>
                <c:formatCode>#,##0;\(#,##0\);\-</c:formatCode>
                <c:ptCount val="11"/>
                <c:pt idx="0">
                  <c:v>21870000</c:v>
                </c:pt>
                <c:pt idx="1">
                  <c:v>21870000</c:v>
                </c:pt>
                <c:pt idx="2">
                  <c:v>21870000</c:v>
                </c:pt>
                <c:pt idx="3">
                  <c:v>21870000</c:v>
                </c:pt>
                <c:pt idx="4">
                  <c:v>21870000</c:v>
                </c:pt>
                <c:pt idx="5">
                  <c:v>21870000</c:v>
                </c:pt>
                <c:pt idx="6">
                  <c:v>21870000</c:v>
                </c:pt>
                <c:pt idx="7">
                  <c:v>21870000</c:v>
                </c:pt>
                <c:pt idx="8">
                  <c:v>21870000</c:v>
                </c:pt>
                <c:pt idx="9">
                  <c:v>21870000</c:v>
                </c:pt>
                <c:pt idx="10">
                  <c:v>21870000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849-46EC-BBE3-4C5B8782241B}"/>
            </c:ext>
          </c:extLst>
        </c:ser>
        <c:ser>
          <c:idx val="2"/>
          <c:order val="2"/>
          <c:tx>
            <c:v>MM Hedge</c:v>
          </c:tx>
          <c:spPr>
            <a:ln w="4752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'FX Hedge Model'!$B$40:$B$50</c:f>
              <c:numCache>
                <c:formatCode>0.0000</c:formatCode>
                <c:ptCount val="11"/>
                <c:pt idx="0">
                  <c:v>1.0966800000000001</c:v>
                </c:pt>
                <c:pt idx="1">
                  <c:v>1.1082240000000001</c:v>
                </c:pt>
                <c:pt idx="2">
                  <c:v>1.1197680000000001</c:v>
                </c:pt>
                <c:pt idx="3">
                  <c:v>1.1313120000000001</c:v>
                </c:pt>
                <c:pt idx="4">
                  <c:v>1.1428560000000001</c:v>
                </c:pt>
                <c:pt idx="5">
                  <c:v>1.1544000000000001</c:v>
                </c:pt>
                <c:pt idx="6">
                  <c:v>1.1659440000000001</c:v>
                </c:pt>
                <c:pt idx="7">
                  <c:v>1.1774880000000001</c:v>
                </c:pt>
                <c:pt idx="8">
                  <c:v>1.1890320000000001</c:v>
                </c:pt>
                <c:pt idx="9">
                  <c:v>1.2005760000000001</c:v>
                </c:pt>
                <c:pt idx="10">
                  <c:v>1.2121200000000001</c:v>
                </c:pt>
              </c:numCache>
            </c:numRef>
          </c:cat>
          <c:val>
            <c:numRef>
              <c:f>'FX Hedge Model'!$E$40:$E$50</c:f>
              <c:numCache>
                <c:formatCode>#,##0;\(#,##0\);\-</c:formatCode>
                <c:ptCount val="11"/>
                <c:pt idx="0">
                  <c:v>23484117.647058826</c:v>
                </c:pt>
                <c:pt idx="1">
                  <c:v>23484117.647058826</c:v>
                </c:pt>
                <c:pt idx="2">
                  <c:v>23484117.647058826</c:v>
                </c:pt>
                <c:pt idx="3">
                  <c:v>23484117.647058826</c:v>
                </c:pt>
                <c:pt idx="4">
                  <c:v>23484117.647058826</c:v>
                </c:pt>
                <c:pt idx="5">
                  <c:v>23484117.647058826</c:v>
                </c:pt>
                <c:pt idx="6">
                  <c:v>23484117.647058826</c:v>
                </c:pt>
                <c:pt idx="7">
                  <c:v>23484117.647058826</c:v>
                </c:pt>
                <c:pt idx="8">
                  <c:v>23484117.647058826</c:v>
                </c:pt>
                <c:pt idx="9">
                  <c:v>23484117.647058826</c:v>
                </c:pt>
                <c:pt idx="10">
                  <c:v>23484117.647058826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9849-46EC-BBE3-4C5B8782241B}"/>
            </c:ext>
          </c:extLst>
        </c:ser>
        <c:ser>
          <c:idx val="3"/>
          <c:order val="3"/>
          <c:tx>
            <c:v>Put Option</c:v>
          </c:tx>
          <c:spPr>
            <a:ln w="4752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'FX Hedge Model'!$B$40:$B$50</c:f>
              <c:numCache>
                <c:formatCode>0.0000</c:formatCode>
                <c:ptCount val="11"/>
                <c:pt idx="0">
                  <c:v>1.0966800000000001</c:v>
                </c:pt>
                <c:pt idx="1">
                  <c:v>1.1082240000000001</c:v>
                </c:pt>
                <c:pt idx="2">
                  <c:v>1.1197680000000001</c:v>
                </c:pt>
                <c:pt idx="3">
                  <c:v>1.1313120000000001</c:v>
                </c:pt>
                <c:pt idx="4">
                  <c:v>1.1428560000000001</c:v>
                </c:pt>
                <c:pt idx="5">
                  <c:v>1.1544000000000001</c:v>
                </c:pt>
                <c:pt idx="6">
                  <c:v>1.1659440000000001</c:v>
                </c:pt>
                <c:pt idx="7">
                  <c:v>1.1774880000000001</c:v>
                </c:pt>
                <c:pt idx="8">
                  <c:v>1.1890320000000001</c:v>
                </c:pt>
                <c:pt idx="9">
                  <c:v>1.2005760000000001</c:v>
                </c:pt>
                <c:pt idx="10">
                  <c:v>1.2121200000000001</c:v>
                </c:pt>
              </c:numCache>
            </c:numRef>
          </c:cat>
          <c:val>
            <c:numRef>
              <c:f>'FX Hedge Model'!$F$40:$F$50</c:f>
              <c:numCache>
                <c:formatCode>#,##0;\(#,##0\);\-</c:formatCode>
                <c:ptCount val="11"/>
                <c:pt idx="0">
                  <c:v>22708000</c:v>
                </c:pt>
                <c:pt idx="1">
                  <c:v>22708000</c:v>
                </c:pt>
                <c:pt idx="2">
                  <c:v>22708000</c:v>
                </c:pt>
                <c:pt idx="3">
                  <c:v>22708000</c:v>
                </c:pt>
                <c:pt idx="4">
                  <c:v>22708000</c:v>
                </c:pt>
                <c:pt idx="5">
                  <c:v>22708000</c:v>
                </c:pt>
                <c:pt idx="6">
                  <c:v>22938880</c:v>
                </c:pt>
                <c:pt idx="7">
                  <c:v>23169760</c:v>
                </c:pt>
                <c:pt idx="8">
                  <c:v>23400640</c:v>
                </c:pt>
                <c:pt idx="9">
                  <c:v>23631520</c:v>
                </c:pt>
                <c:pt idx="10">
                  <c:v>23862400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9849-46EC-BBE3-4C5B8782241B}"/>
            </c:ext>
          </c:extLst>
        </c:ser>
        <c:ser>
          <c:idx val="4"/>
          <c:order val="4"/>
          <c:tx>
            <c:v>Collar</c:v>
          </c:tx>
          <c:spPr>
            <a:ln w="47520">
              <a:solidFill>
                <a:srgbClr val="46AAC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'FX Hedge Model'!$B$40:$B$50</c:f>
              <c:numCache>
                <c:formatCode>0.0000</c:formatCode>
                <c:ptCount val="11"/>
                <c:pt idx="0">
                  <c:v>1.0966800000000001</c:v>
                </c:pt>
                <c:pt idx="1">
                  <c:v>1.1082240000000001</c:v>
                </c:pt>
                <c:pt idx="2">
                  <c:v>1.1197680000000001</c:v>
                </c:pt>
                <c:pt idx="3">
                  <c:v>1.1313120000000001</c:v>
                </c:pt>
                <c:pt idx="4">
                  <c:v>1.1428560000000001</c:v>
                </c:pt>
                <c:pt idx="5">
                  <c:v>1.1544000000000001</c:v>
                </c:pt>
                <c:pt idx="6">
                  <c:v>1.1659440000000001</c:v>
                </c:pt>
                <c:pt idx="7">
                  <c:v>1.1774880000000001</c:v>
                </c:pt>
                <c:pt idx="8">
                  <c:v>1.1890320000000001</c:v>
                </c:pt>
                <c:pt idx="9">
                  <c:v>1.2005760000000001</c:v>
                </c:pt>
                <c:pt idx="10">
                  <c:v>1.2121200000000001</c:v>
                </c:pt>
              </c:numCache>
            </c:numRef>
          </c:cat>
          <c:val>
            <c:numRef>
              <c:f>'FX Hedge Model'!$G$40:$G$50</c:f>
              <c:numCache>
                <c:formatCode>#,##0;\(#,##0\);\-</c:formatCode>
                <c:ptCount val="11"/>
                <c:pt idx="0">
                  <c:v>22908000</c:v>
                </c:pt>
                <c:pt idx="1">
                  <c:v>22908000</c:v>
                </c:pt>
                <c:pt idx="2">
                  <c:v>22908000</c:v>
                </c:pt>
                <c:pt idx="3">
                  <c:v>22908000</c:v>
                </c:pt>
                <c:pt idx="4">
                  <c:v>22908000</c:v>
                </c:pt>
                <c:pt idx="5">
                  <c:v>22908000</c:v>
                </c:pt>
                <c:pt idx="6">
                  <c:v>23138880</c:v>
                </c:pt>
                <c:pt idx="7">
                  <c:v>23369760</c:v>
                </c:pt>
                <c:pt idx="8">
                  <c:v>23600640</c:v>
                </c:pt>
                <c:pt idx="9">
                  <c:v>23820000</c:v>
                </c:pt>
                <c:pt idx="10">
                  <c:v>23820000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9849-46EC-BBE3-4C5B878224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40561917"/>
        <c:axId val="21881295"/>
      </c:lineChart>
      <c:catAx>
        <c:axId val="4056191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S_T (EUR/USD)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1881295"/>
        <c:crosses val="autoZero"/>
        <c:auto val="1"/>
        <c:lblAlgn val="ctr"/>
        <c:lblOffset val="100"/>
        <c:noMultiLvlLbl val="0"/>
      </c:catAx>
      <c:valAx>
        <c:axId val="2188129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USD Proceeds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056191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49</xdr:row>
      <xdr:rowOff>173328</xdr:rowOff>
    </xdr:from>
    <xdr:to>
      <xdr:col>3</xdr:col>
      <xdr:colOff>771524</xdr:colOff>
      <xdr:row>65</xdr:row>
      <xdr:rowOff>184125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74"/>
  <sheetViews>
    <sheetView showGridLines="0" tabSelected="1" zoomScaleNormal="100" workbookViewId="0">
      <pane xSplit="1" ySplit="2" topLeftCell="B33" activePane="bottomRight" state="frozen"/>
      <selection pane="topRight" activeCell="B1" sqref="B1"/>
      <selection pane="bottomLeft" activeCell="A3" sqref="A3"/>
      <selection pane="bottomRight" activeCell="E12" sqref="E12"/>
    </sheetView>
  </sheetViews>
  <sheetFormatPr defaultColWidth="8.7109375" defaultRowHeight="15" x14ac:dyDescent="0.25"/>
  <cols>
    <col min="1" max="1" width="28" customWidth="1"/>
    <col min="2" max="2" width="18" customWidth="1"/>
    <col min="3" max="7" width="22" customWidth="1"/>
  </cols>
  <sheetData>
    <row r="1" spans="1:7" ht="27.75" customHeight="1" x14ac:dyDescent="0.25">
      <c r="A1" s="7" t="s">
        <v>0</v>
      </c>
      <c r="B1" s="7"/>
      <c r="C1" s="7"/>
      <c r="D1" s="7"/>
      <c r="E1" s="7"/>
      <c r="F1" s="7"/>
      <c r="G1" s="7"/>
    </row>
    <row r="2" spans="1:7" ht="18" customHeight="1" x14ac:dyDescent="0.25">
      <c r="A2" s="6" t="s">
        <v>1</v>
      </c>
      <c r="B2" s="6"/>
      <c r="C2" s="6"/>
      <c r="D2" s="6"/>
      <c r="E2" s="6"/>
      <c r="F2" s="6"/>
      <c r="G2" s="6"/>
    </row>
    <row r="4" spans="1:7" ht="19.5" customHeight="1" x14ac:dyDescent="0.25">
      <c r="A4" s="5" t="s">
        <v>2</v>
      </c>
      <c r="B4" s="5"/>
      <c r="C4" s="5"/>
      <c r="D4" s="5"/>
      <c r="E4" s="5"/>
      <c r="F4" s="5"/>
      <c r="G4" s="5"/>
    </row>
    <row r="5" spans="1:7" ht="15.75" customHeight="1" x14ac:dyDescent="0.25">
      <c r="A5" s="8" t="s">
        <v>3</v>
      </c>
      <c r="B5" s="8" t="s">
        <v>4</v>
      </c>
      <c r="C5" s="8" t="s">
        <v>5</v>
      </c>
      <c r="D5" s="8" t="s">
        <v>6</v>
      </c>
      <c r="E5" s="8" t="s">
        <v>7</v>
      </c>
    </row>
    <row r="6" spans="1:7" x14ac:dyDescent="0.25">
      <c r="A6" s="9" t="s">
        <v>8</v>
      </c>
      <c r="B6" s="9" t="s">
        <v>9</v>
      </c>
      <c r="C6" s="10">
        <v>20000000</v>
      </c>
      <c r="D6" s="9" t="s">
        <v>10</v>
      </c>
      <c r="E6" s="9" t="s">
        <v>11</v>
      </c>
    </row>
    <row r="7" spans="1:7" ht="25.5" x14ac:dyDescent="0.25">
      <c r="A7" s="9" t="s">
        <v>12</v>
      </c>
      <c r="B7" s="9" t="s">
        <v>13</v>
      </c>
      <c r="C7" s="11">
        <v>1.1544000000000001</v>
      </c>
      <c r="D7" s="9" t="s">
        <v>14</v>
      </c>
      <c r="E7" s="9" t="s">
        <v>15</v>
      </c>
    </row>
    <row r="8" spans="1:7" x14ac:dyDescent="0.25">
      <c r="A8" s="9" t="s">
        <v>16</v>
      </c>
      <c r="B8" s="9" t="s">
        <v>17</v>
      </c>
      <c r="C8" s="11">
        <v>1.0934999999999999</v>
      </c>
      <c r="D8" s="9" t="s">
        <v>14</v>
      </c>
      <c r="E8" s="9" t="s">
        <v>18</v>
      </c>
    </row>
    <row r="9" spans="1:7" ht="15.75" customHeight="1" x14ac:dyDescent="0.25">
      <c r="A9" s="9" t="s">
        <v>19</v>
      </c>
      <c r="B9" s="9" t="s">
        <v>20</v>
      </c>
      <c r="C9" s="12">
        <v>3.7499999999999999E-2</v>
      </c>
      <c r="D9" s="9" t="s">
        <v>21</v>
      </c>
      <c r="E9" s="9" t="s">
        <v>22</v>
      </c>
    </row>
    <row r="10" spans="1:7" ht="15.75" customHeight="1" x14ac:dyDescent="0.25">
      <c r="A10" s="9" t="s">
        <v>23</v>
      </c>
      <c r="B10" s="9" t="s">
        <v>24</v>
      </c>
      <c r="C10" s="12">
        <v>0.02</v>
      </c>
      <c r="D10" s="9" t="s">
        <v>21</v>
      </c>
      <c r="E10" s="9" t="s">
        <v>25</v>
      </c>
    </row>
    <row r="11" spans="1:7" ht="15.75" customHeight="1" x14ac:dyDescent="0.25">
      <c r="A11" s="9" t="s">
        <v>26</v>
      </c>
      <c r="B11" s="9" t="s">
        <v>27</v>
      </c>
      <c r="C11" s="13">
        <v>365</v>
      </c>
      <c r="D11" s="9" t="s">
        <v>28</v>
      </c>
      <c r="E11" s="9" t="s">
        <v>29</v>
      </c>
    </row>
    <row r="12" spans="1:7" ht="15.75" customHeight="1" x14ac:dyDescent="0.25">
      <c r="A12" s="9" t="s">
        <v>30</v>
      </c>
      <c r="B12" s="9" t="s">
        <v>31</v>
      </c>
      <c r="C12" s="11">
        <v>1.1544000000000001</v>
      </c>
      <c r="D12" s="9" t="s">
        <v>14</v>
      </c>
      <c r="E12" s="9" t="s">
        <v>32</v>
      </c>
    </row>
    <row r="13" spans="1:7" ht="15.75" customHeight="1" x14ac:dyDescent="0.25">
      <c r="A13" s="9" t="s">
        <v>33</v>
      </c>
      <c r="B13" s="9" t="s">
        <v>34</v>
      </c>
      <c r="C13" s="11">
        <v>1.9E-2</v>
      </c>
      <c r="D13" s="9" t="s">
        <v>14</v>
      </c>
      <c r="E13" s="9" t="s">
        <v>35</v>
      </c>
    </row>
    <row r="14" spans="1:7" ht="15.75" customHeight="1" x14ac:dyDescent="0.25">
      <c r="A14" s="9" t="s">
        <v>36</v>
      </c>
      <c r="B14" s="9" t="s">
        <v>37</v>
      </c>
      <c r="C14" s="11">
        <v>1.2</v>
      </c>
      <c r="D14" s="9" t="s">
        <v>14</v>
      </c>
      <c r="E14" s="9" t="s">
        <v>38</v>
      </c>
    </row>
    <row r="15" spans="1:7" ht="15.75" customHeight="1" x14ac:dyDescent="0.25">
      <c r="A15" s="9" t="s">
        <v>39</v>
      </c>
      <c r="B15" s="9" t="s">
        <v>40</v>
      </c>
      <c r="C15" s="11">
        <v>0.01</v>
      </c>
      <c r="D15" s="9" t="s">
        <v>14</v>
      </c>
      <c r="E15" s="9" t="s">
        <v>41</v>
      </c>
    </row>
    <row r="17" spans="1:7" ht="15" customHeight="1" x14ac:dyDescent="0.25">
      <c r="A17" s="4" t="s">
        <v>42</v>
      </c>
      <c r="B17" s="4"/>
      <c r="C17" s="4"/>
      <c r="D17" s="4"/>
      <c r="E17" s="4"/>
      <c r="F17" s="4"/>
      <c r="G17" s="4"/>
    </row>
    <row r="18" spans="1:7" x14ac:dyDescent="0.25">
      <c r="A18" s="14" t="s">
        <v>43</v>
      </c>
      <c r="B18" s="14" t="s">
        <v>44</v>
      </c>
      <c r="C18" s="14" t="s">
        <v>45</v>
      </c>
      <c r="D18" s="14" t="s">
        <v>46</v>
      </c>
    </row>
    <row r="19" spans="1:7" ht="25.5" x14ac:dyDescent="0.25">
      <c r="A19" s="9" t="s">
        <v>47</v>
      </c>
      <c r="B19" s="9" t="s">
        <v>48</v>
      </c>
      <c r="C19" s="15">
        <f>C8</f>
        <v>1.0934999999999999</v>
      </c>
      <c r="D19" s="16">
        <f>$C$6*$C$8</f>
        <v>21870000</v>
      </c>
    </row>
    <row r="20" spans="1:7" ht="25.5" x14ac:dyDescent="0.25">
      <c r="A20" s="9" t="s">
        <v>49</v>
      </c>
      <c r="B20" s="9" t="s">
        <v>50</v>
      </c>
      <c r="C20" s="17" t="s">
        <v>51</v>
      </c>
      <c r="D20" s="18">
        <f>$C$6*$C$8</f>
        <v>21870000</v>
      </c>
    </row>
    <row r="22" spans="1:7" ht="15" customHeight="1" x14ac:dyDescent="0.25">
      <c r="A22" s="3" t="s">
        <v>52</v>
      </c>
      <c r="B22" s="3"/>
      <c r="C22" s="3"/>
      <c r="D22" s="3"/>
      <c r="E22" s="3"/>
      <c r="F22" s="3"/>
      <c r="G22" s="3"/>
    </row>
    <row r="23" spans="1:7" x14ac:dyDescent="0.25">
      <c r="A23" s="19" t="s">
        <v>43</v>
      </c>
      <c r="B23" s="19" t="s">
        <v>44</v>
      </c>
      <c r="C23" s="19" t="s">
        <v>53</v>
      </c>
      <c r="D23" s="19" t="s">
        <v>5</v>
      </c>
    </row>
    <row r="24" spans="1:7" ht="25.5" x14ac:dyDescent="0.25">
      <c r="A24" s="9" t="s">
        <v>47</v>
      </c>
      <c r="B24" s="9" t="s">
        <v>54</v>
      </c>
      <c r="C24" s="16">
        <f>$C$6/(1+$C$10)</f>
        <v>19607843.137254901</v>
      </c>
      <c r="D24" s="16">
        <f>$C$6/(1+$C$10)</f>
        <v>19607843.137254901</v>
      </c>
    </row>
    <row r="25" spans="1:7" ht="25.5" x14ac:dyDescent="0.25">
      <c r="A25" s="9" t="s">
        <v>55</v>
      </c>
      <c r="B25" s="9" t="s">
        <v>56</v>
      </c>
      <c r="C25" s="16">
        <f>C24*$C$7</f>
        <v>22635294.117647059</v>
      </c>
      <c r="D25" s="16">
        <f>C24*$C$7</f>
        <v>22635294.117647059</v>
      </c>
    </row>
    <row r="26" spans="1:7" ht="25.5" x14ac:dyDescent="0.25">
      <c r="A26" s="9" t="s">
        <v>57</v>
      </c>
      <c r="B26" s="9" t="s">
        <v>58</v>
      </c>
      <c r="C26" s="16">
        <f>C25*(1+$C$9)</f>
        <v>23484117.647058826</v>
      </c>
      <c r="D26" s="16">
        <f>C25*(1+$C$9)</f>
        <v>23484117.647058826</v>
      </c>
    </row>
    <row r="27" spans="1:7" ht="38.25" x14ac:dyDescent="0.25">
      <c r="A27" s="9" t="s">
        <v>59</v>
      </c>
      <c r="B27" s="9" t="s">
        <v>60</v>
      </c>
      <c r="C27" s="17" t="s">
        <v>61</v>
      </c>
      <c r="D27" s="18">
        <f>$C$6/(1+$C$10)*$C$7*(1+$C$9)</f>
        <v>23484117.647058826</v>
      </c>
    </row>
    <row r="28" spans="1:7" ht="38.25" x14ac:dyDescent="0.25">
      <c r="A28" s="9" t="s">
        <v>62</v>
      </c>
      <c r="B28" s="9" t="s">
        <v>63</v>
      </c>
      <c r="C28" s="16">
        <f>D27-D20</f>
        <v>1614117.6470588259</v>
      </c>
      <c r="D28" s="20" t="str">
        <f>IF(ABS(C28)&lt;5000,"✓ Parity OK","⚠ Check rates")</f>
        <v>⚠ Check rates</v>
      </c>
    </row>
    <row r="30" spans="1:7" ht="15" customHeight="1" x14ac:dyDescent="0.25">
      <c r="A30" s="2" t="s">
        <v>64</v>
      </c>
      <c r="B30" s="2"/>
      <c r="C30" s="2"/>
      <c r="D30" s="2"/>
      <c r="E30" s="2"/>
      <c r="F30" s="2"/>
      <c r="G30" s="2"/>
    </row>
    <row r="31" spans="1:7" x14ac:dyDescent="0.25">
      <c r="A31" s="21" t="s">
        <v>65</v>
      </c>
      <c r="B31" s="21" t="s">
        <v>53</v>
      </c>
      <c r="C31" s="21" t="s">
        <v>5</v>
      </c>
      <c r="D31" s="21" t="s">
        <v>66</v>
      </c>
    </row>
    <row r="32" spans="1:7" ht="15.75" customHeight="1" x14ac:dyDescent="0.25">
      <c r="A32" s="9" t="s">
        <v>67</v>
      </c>
      <c r="B32" s="17" t="s">
        <v>68</v>
      </c>
      <c r="C32" s="16">
        <f>$C$13*$C$6</f>
        <v>380000</v>
      </c>
      <c r="D32" s="9" t="s">
        <v>69</v>
      </c>
    </row>
    <row r="33" spans="1:7" ht="15.75" customHeight="1" x14ac:dyDescent="0.25">
      <c r="A33" s="9" t="s">
        <v>70</v>
      </c>
      <c r="B33" s="17" t="s">
        <v>71</v>
      </c>
      <c r="C33" s="16">
        <f>$C$15*$C$6</f>
        <v>200000</v>
      </c>
      <c r="D33" s="9" t="s">
        <v>72</v>
      </c>
    </row>
    <row r="34" spans="1:7" ht="15.75" customHeight="1" x14ac:dyDescent="0.25">
      <c r="A34" s="9" t="s">
        <v>73</v>
      </c>
      <c r="B34" s="17" t="s">
        <v>74</v>
      </c>
      <c r="C34" s="16">
        <f>C32-C33</f>
        <v>180000</v>
      </c>
      <c r="D34" s="9" t="s">
        <v>75</v>
      </c>
    </row>
    <row r="36" spans="1:7" ht="25.5" x14ac:dyDescent="0.25">
      <c r="A36" s="9" t="s">
        <v>76</v>
      </c>
      <c r="B36" s="16">
        <f>$C$6*$C$7</f>
        <v>23088000</v>
      </c>
      <c r="C36" s="9" t="s">
        <v>77</v>
      </c>
    </row>
    <row r="38" spans="1:7" ht="15" customHeight="1" x14ac:dyDescent="0.25">
      <c r="A38" s="1" t="s">
        <v>78</v>
      </c>
      <c r="B38" s="1"/>
      <c r="C38" s="1"/>
      <c r="D38" s="1"/>
      <c r="E38" s="1"/>
      <c r="F38" s="1"/>
      <c r="G38" s="1"/>
    </row>
    <row r="39" spans="1:7" ht="30" customHeight="1" x14ac:dyDescent="0.25">
      <c r="A39" s="22" t="s">
        <v>79</v>
      </c>
      <c r="B39" s="22" t="s">
        <v>80</v>
      </c>
      <c r="C39" s="22" t="s">
        <v>81</v>
      </c>
      <c r="D39" s="22" t="s">
        <v>82</v>
      </c>
      <c r="E39" s="22" t="s">
        <v>83</v>
      </c>
      <c r="F39" s="22" t="s">
        <v>84</v>
      </c>
      <c r="G39" s="22" t="s">
        <v>85</v>
      </c>
    </row>
    <row r="40" spans="1:7" ht="15" customHeight="1" x14ac:dyDescent="0.25">
      <c r="A40" s="23">
        <v>0.95</v>
      </c>
      <c r="B40" s="15">
        <f t="shared" ref="B40:B50" si="0">A40*$C$7</f>
        <v>1.0966800000000001</v>
      </c>
      <c r="C40" s="16">
        <f t="shared" ref="C40:C50" si="1">$C$6*B40</f>
        <v>21933600.000000004</v>
      </c>
      <c r="D40" s="16">
        <f t="shared" ref="D40:D50" si="2">$C$6*$C$8</f>
        <v>21870000</v>
      </c>
      <c r="E40" s="16">
        <f>D27</f>
        <v>23484117.647058826</v>
      </c>
      <c r="F40" s="16">
        <f t="shared" ref="F40:F50" si="3">MAX($C$12,B40)*$C$6-$C$13*$C$6</f>
        <v>22708000</v>
      </c>
      <c r="G40" s="16">
        <f t="shared" ref="G40:G50" si="4">MAX($C$12,MIN($C$14,B40))*$C$6-($C$13-$C$15)*$C$6</f>
        <v>22908000</v>
      </c>
    </row>
    <row r="41" spans="1:7" ht="15" customHeight="1" x14ac:dyDescent="0.25">
      <c r="A41" s="23">
        <v>0.96</v>
      </c>
      <c r="B41" s="15">
        <f t="shared" si="0"/>
        <v>1.1082240000000001</v>
      </c>
      <c r="C41" s="16">
        <f t="shared" si="1"/>
        <v>22164480.000000004</v>
      </c>
      <c r="D41" s="16">
        <f t="shared" si="2"/>
        <v>21870000</v>
      </c>
      <c r="E41" s="16">
        <f>D27</f>
        <v>23484117.647058826</v>
      </c>
      <c r="F41" s="16">
        <f t="shared" si="3"/>
        <v>22708000</v>
      </c>
      <c r="G41" s="16">
        <f t="shared" si="4"/>
        <v>22908000</v>
      </c>
    </row>
    <row r="42" spans="1:7" ht="15" customHeight="1" x14ac:dyDescent="0.25">
      <c r="A42" s="23">
        <v>0.97</v>
      </c>
      <c r="B42" s="15">
        <f t="shared" si="0"/>
        <v>1.1197680000000001</v>
      </c>
      <c r="C42" s="16">
        <f t="shared" si="1"/>
        <v>22395360.000000004</v>
      </c>
      <c r="D42" s="16">
        <f t="shared" si="2"/>
        <v>21870000</v>
      </c>
      <c r="E42" s="16">
        <f>D27</f>
        <v>23484117.647058826</v>
      </c>
      <c r="F42" s="16">
        <f t="shared" si="3"/>
        <v>22708000</v>
      </c>
      <c r="G42" s="16">
        <f t="shared" si="4"/>
        <v>22908000</v>
      </c>
    </row>
    <row r="43" spans="1:7" ht="15" customHeight="1" x14ac:dyDescent="0.25">
      <c r="A43" s="23">
        <v>0.98</v>
      </c>
      <c r="B43" s="15">
        <f t="shared" si="0"/>
        <v>1.1313120000000001</v>
      </c>
      <c r="C43" s="16">
        <f t="shared" si="1"/>
        <v>22626240.000000004</v>
      </c>
      <c r="D43" s="16">
        <f t="shared" si="2"/>
        <v>21870000</v>
      </c>
      <c r="E43" s="16">
        <f>D27</f>
        <v>23484117.647058826</v>
      </c>
      <c r="F43" s="16">
        <f t="shared" si="3"/>
        <v>22708000</v>
      </c>
      <c r="G43" s="16">
        <f t="shared" si="4"/>
        <v>22908000</v>
      </c>
    </row>
    <row r="44" spans="1:7" ht="15" customHeight="1" x14ac:dyDescent="0.25">
      <c r="A44" s="23">
        <v>0.99</v>
      </c>
      <c r="B44" s="15">
        <f t="shared" si="0"/>
        <v>1.1428560000000001</v>
      </c>
      <c r="C44" s="16">
        <f t="shared" si="1"/>
        <v>22857120.000000004</v>
      </c>
      <c r="D44" s="16">
        <f t="shared" si="2"/>
        <v>21870000</v>
      </c>
      <c r="E44" s="16">
        <f>D27</f>
        <v>23484117.647058826</v>
      </c>
      <c r="F44" s="16">
        <f t="shared" si="3"/>
        <v>22708000</v>
      </c>
      <c r="G44" s="16">
        <f t="shared" si="4"/>
        <v>22908000</v>
      </c>
    </row>
    <row r="45" spans="1:7" ht="15" customHeight="1" x14ac:dyDescent="0.25">
      <c r="A45" s="23">
        <v>1</v>
      </c>
      <c r="B45" s="24">
        <f t="shared" si="0"/>
        <v>1.1544000000000001</v>
      </c>
      <c r="C45" s="25">
        <f t="shared" si="1"/>
        <v>23088000</v>
      </c>
      <c r="D45" s="25">
        <f t="shared" si="2"/>
        <v>21870000</v>
      </c>
      <c r="E45" s="25">
        <f>D27</f>
        <v>23484117.647058826</v>
      </c>
      <c r="F45" s="25">
        <f t="shared" si="3"/>
        <v>22708000</v>
      </c>
      <c r="G45" s="25">
        <f t="shared" si="4"/>
        <v>22908000</v>
      </c>
    </row>
    <row r="46" spans="1:7" ht="15" customHeight="1" x14ac:dyDescent="0.25">
      <c r="A46" s="23">
        <v>1.01</v>
      </c>
      <c r="B46" s="15">
        <f t="shared" si="0"/>
        <v>1.1659440000000001</v>
      </c>
      <c r="C46" s="16">
        <f t="shared" si="1"/>
        <v>23318880</v>
      </c>
      <c r="D46" s="16">
        <f t="shared" si="2"/>
        <v>21870000</v>
      </c>
      <c r="E46" s="16">
        <f>D27</f>
        <v>23484117.647058826</v>
      </c>
      <c r="F46" s="16">
        <f t="shared" si="3"/>
        <v>22938880</v>
      </c>
      <c r="G46" s="16">
        <f t="shared" si="4"/>
        <v>23138880</v>
      </c>
    </row>
    <row r="47" spans="1:7" ht="15" customHeight="1" x14ac:dyDescent="0.25">
      <c r="A47" s="23">
        <v>1.02</v>
      </c>
      <c r="B47" s="15">
        <f t="shared" si="0"/>
        <v>1.1774880000000001</v>
      </c>
      <c r="C47" s="16">
        <f t="shared" si="1"/>
        <v>23549760</v>
      </c>
      <c r="D47" s="16">
        <f t="shared" si="2"/>
        <v>21870000</v>
      </c>
      <c r="E47" s="16">
        <f>D27</f>
        <v>23484117.647058826</v>
      </c>
      <c r="F47" s="16">
        <f t="shared" si="3"/>
        <v>23169760</v>
      </c>
      <c r="G47" s="16">
        <f t="shared" si="4"/>
        <v>23369760</v>
      </c>
    </row>
    <row r="48" spans="1:7" ht="15" customHeight="1" x14ac:dyDescent="0.25">
      <c r="A48" s="23">
        <v>1.03</v>
      </c>
      <c r="B48" s="15">
        <f t="shared" si="0"/>
        <v>1.1890320000000001</v>
      </c>
      <c r="C48" s="16">
        <f t="shared" si="1"/>
        <v>23780640</v>
      </c>
      <c r="D48" s="16">
        <f t="shared" si="2"/>
        <v>21870000</v>
      </c>
      <c r="E48" s="16">
        <f>D27</f>
        <v>23484117.647058826</v>
      </c>
      <c r="F48" s="16">
        <f t="shared" si="3"/>
        <v>23400640</v>
      </c>
      <c r="G48" s="16">
        <f t="shared" si="4"/>
        <v>23600640</v>
      </c>
    </row>
    <row r="49" spans="1:7" ht="15" customHeight="1" x14ac:dyDescent="0.25">
      <c r="A49" s="23">
        <v>1.04</v>
      </c>
      <c r="B49" s="15">
        <f t="shared" si="0"/>
        <v>1.2005760000000001</v>
      </c>
      <c r="C49" s="16">
        <f t="shared" si="1"/>
        <v>24011520</v>
      </c>
      <c r="D49" s="16">
        <f t="shared" si="2"/>
        <v>21870000</v>
      </c>
      <c r="E49" s="16">
        <f>D27</f>
        <v>23484117.647058826</v>
      </c>
      <c r="F49" s="16">
        <f t="shared" si="3"/>
        <v>23631520</v>
      </c>
      <c r="G49" s="16">
        <f t="shared" si="4"/>
        <v>23820000</v>
      </c>
    </row>
    <row r="50" spans="1:7" ht="15" customHeight="1" x14ac:dyDescent="0.25">
      <c r="A50" s="23">
        <v>1.05</v>
      </c>
      <c r="B50" s="15">
        <f t="shared" si="0"/>
        <v>1.2121200000000001</v>
      </c>
      <c r="C50" s="16">
        <f t="shared" si="1"/>
        <v>24242400</v>
      </c>
      <c r="D50" s="16">
        <f t="shared" si="2"/>
        <v>21870000</v>
      </c>
      <c r="E50" s="16">
        <f>D27</f>
        <v>23484117.647058826</v>
      </c>
      <c r="F50" s="16">
        <f t="shared" si="3"/>
        <v>23862400</v>
      </c>
      <c r="G50" s="16">
        <f t="shared" si="4"/>
        <v>23820000</v>
      </c>
    </row>
    <row r="67" spans="1:7" ht="15" customHeight="1" x14ac:dyDescent="0.25">
      <c r="A67" s="5" t="s">
        <v>86</v>
      </c>
      <c r="B67" s="5"/>
      <c r="C67" s="5"/>
      <c r="D67" s="5"/>
      <c r="E67" s="5"/>
      <c r="F67" s="5"/>
      <c r="G67" s="5"/>
    </row>
    <row r="68" spans="1:7" x14ac:dyDescent="0.25">
      <c r="A68" s="8" t="s">
        <v>87</v>
      </c>
      <c r="B68" s="8" t="s">
        <v>88</v>
      </c>
      <c r="C68" s="8" t="s">
        <v>89</v>
      </c>
      <c r="D68" s="8" t="s">
        <v>90</v>
      </c>
      <c r="E68" s="8" t="s">
        <v>91</v>
      </c>
    </row>
    <row r="69" spans="1:7" ht="15.75" customHeight="1" x14ac:dyDescent="0.25">
      <c r="A69" s="9" t="s">
        <v>92</v>
      </c>
      <c r="B69" s="18">
        <f>C6*C7</f>
        <v>23088000</v>
      </c>
      <c r="C69" s="26" t="s">
        <v>93</v>
      </c>
      <c r="D69" s="26" t="s">
        <v>93</v>
      </c>
      <c r="E69" s="9" t="s">
        <v>94</v>
      </c>
    </row>
    <row r="70" spans="1:7" x14ac:dyDescent="0.25">
      <c r="A70" s="9" t="s">
        <v>95</v>
      </c>
      <c r="B70" s="18">
        <f>D20</f>
        <v>21870000</v>
      </c>
      <c r="C70" s="18">
        <f>B70-B69</f>
        <v>-1218000</v>
      </c>
      <c r="D70" s="27">
        <f>C70/B69</f>
        <v>-5.2754677754677758E-2</v>
      </c>
      <c r="E70" s="9" t="s">
        <v>96</v>
      </c>
    </row>
    <row r="71" spans="1:7" ht="25.5" x14ac:dyDescent="0.25">
      <c r="A71" s="9" t="s">
        <v>97</v>
      </c>
      <c r="B71" s="18">
        <f>D27</f>
        <v>23484117.647058826</v>
      </c>
      <c r="C71" s="18">
        <f>B71-B69</f>
        <v>396117.64705882594</v>
      </c>
      <c r="D71" s="27">
        <f>C71/B69</f>
        <v>1.7156862745098145E-2</v>
      </c>
      <c r="E71" s="9" t="s">
        <v>98</v>
      </c>
    </row>
    <row r="72" spans="1:7" ht="25.5" x14ac:dyDescent="0.25">
      <c r="A72" s="9" t="s">
        <v>99</v>
      </c>
      <c r="B72" s="18">
        <f>MAX(C12,C7)*C6-C13*C6</f>
        <v>22708000</v>
      </c>
      <c r="C72" s="18">
        <f>B72-B69</f>
        <v>-380000</v>
      </c>
      <c r="D72" s="27">
        <f>C72/B69</f>
        <v>-1.6458766458766459E-2</v>
      </c>
      <c r="E72" s="9" t="s">
        <v>100</v>
      </c>
    </row>
    <row r="73" spans="1:7" ht="25.5" x14ac:dyDescent="0.25">
      <c r="A73" s="9" t="s">
        <v>101</v>
      </c>
      <c r="B73" s="18">
        <f>MAX(C12,MIN(C14,C7))*C6-(C13-C15)*C6</f>
        <v>22908000</v>
      </c>
      <c r="C73" s="18">
        <f>B73-B69</f>
        <v>-180000</v>
      </c>
      <c r="D73" s="27">
        <f>C73/B69</f>
        <v>-7.7962577962577967E-3</v>
      </c>
      <c r="E73" s="9" t="s">
        <v>102</v>
      </c>
    </row>
    <row r="74" spans="1:7" ht="15.75" customHeight="1" x14ac:dyDescent="0.25">
      <c r="A74" s="9" t="s">
        <v>103</v>
      </c>
      <c r="B74" s="28" t="s">
        <v>104</v>
      </c>
      <c r="C74" s="26" t="s">
        <v>93</v>
      </c>
      <c r="D74" s="26" t="s">
        <v>93</v>
      </c>
      <c r="E74" s="9" t="s">
        <v>105</v>
      </c>
    </row>
  </sheetData>
  <mergeCells count="8">
    <mergeCell ref="A30:G30"/>
    <mergeCell ref="A38:G38"/>
    <mergeCell ref="A67:G67"/>
    <mergeCell ref="A1:G1"/>
    <mergeCell ref="A2:G2"/>
    <mergeCell ref="A4:G4"/>
    <mergeCell ref="A17:G17"/>
    <mergeCell ref="A22:G2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C32"/>
  <sheetViews>
    <sheetView showGridLines="0" zoomScaleNormal="100" workbookViewId="0">
      <selection activeCell="H16" sqref="H16"/>
    </sheetView>
  </sheetViews>
  <sheetFormatPr defaultColWidth="8.7109375" defaultRowHeight="15" x14ac:dyDescent="0.25"/>
  <cols>
    <col min="1" max="2" width="19.5703125" bestFit="1" customWidth="1"/>
    <col min="3" max="3" width="74.28515625" bestFit="1" customWidth="1"/>
  </cols>
  <sheetData>
    <row r="1" spans="1:3" ht="17.45" customHeight="1" x14ac:dyDescent="0.25">
      <c r="A1" s="7" t="s">
        <v>106</v>
      </c>
      <c r="B1" s="7"/>
      <c r="C1" s="7"/>
    </row>
    <row r="2" spans="1:3" ht="15" customHeight="1" x14ac:dyDescent="0.25">
      <c r="A2" s="8" t="s">
        <v>107</v>
      </c>
      <c r="B2" s="8" t="s">
        <v>65</v>
      </c>
      <c r="C2" s="8" t="s">
        <v>108</v>
      </c>
    </row>
    <row r="3" spans="1:3" ht="15" customHeight="1" x14ac:dyDescent="0.25">
      <c r="A3" s="29" t="s">
        <v>109</v>
      </c>
      <c r="B3" s="9" t="s">
        <v>110</v>
      </c>
      <c r="C3" s="9" t="s">
        <v>111</v>
      </c>
    </row>
    <row r="4" spans="1:3" ht="15" customHeight="1" x14ac:dyDescent="0.25">
      <c r="A4" s="29" t="s">
        <v>109</v>
      </c>
      <c r="B4" s="9" t="s">
        <v>112</v>
      </c>
      <c r="C4" s="9" t="s">
        <v>113</v>
      </c>
    </row>
    <row r="5" spans="1:3" ht="15" customHeight="1" x14ac:dyDescent="0.25">
      <c r="A5" s="29" t="s">
        <v>109</v>
      </c>
      <c r="B5" s="9" t="s">
        <v>114</v>
      </c>
      <c r="C5" s="9" t="s">
        <v>115</v>
      </c>
    </row>
    <row r="6" spans="1:3" ht="15" customHeight="1" x14ac:dyDescent="0.25">
      <c r="A6" s="29" t="s">
        <v>109</v>
      </c>
      <c r="B6" s="9" t="s">
        <v>116</v>
      </c>
      <c r="C6" s="9" t="s">
        <v>117</v>
      </c>
    </row>
    <row r="7" spans="1:3" ht="15" customHeight="1" x14ac:dyDescent="0.25"/>
    <row r="8" spans="1:3" ht="15" customHeight="1" x14ac:dyDescent="0.25">
      <c r="A8" s="29" t="s">
        <v>118</v>
      </c>
      <c r="B8" s="9" t="s">
        <v>119</v>
      </c>
      <c r="C8" s="9" t="s">
        <v>120</v>
      </c>
    </row>
    <row r="9" spans="1:3" ht="15" customHeight="1" x14ac:dyDescent="0.25">
      <c r="A9" s="29" t="s">
        <v>118</v>
      </c>
      <c r="B9" s="9" t="s">
        <v>121</v>
      </c>
      <c r="C9" s="9" t="s">
        <v>122</v>
      </c>
    </row>
    <row r="10" spans="1:3" ht="15" customHeight="1" x14ac:dyDescent="0.25">
      <c r="A10" s="29" t="s">
        <v>118</v>
      </c>
      <c r="B10" s="9" t="s">
        <v>123</v>
      </c>
      <c r="C10" s="9" t="s">
        <v>124</v>
      </c>
    </row>
    <row r="11" spans="1:3" ht="15" customHeight="1" x14ac:dyDescent="0.25">
      <c r="A11" s="29" t="s">
        <v>118</v>
      </c>
      <c r="B11" s="9" t="s">
        <v>125</v>
      </c>
      <c r="C11" s="9" t="s">
        <v>126</v>
      </c>
    </row>
    <row r="12" spans="1:3" ht="15" customHeight="1" x14ac:dyDescent="0.25">
      <c r="A12" s="29" t="s">
        <v>118</v>
      </c>
      <c r="B12" s="9" t="s">
        <v>127</v>
      </c>
      <c r="C12" s="9" t="s">
        <v>128</v>
      </c>
    </row>
    <row r="13" spans="1:3" ht="15" customHeight="1" x14ac:dyDescent="0.25"/>
    <row r="14" spans="1:3" ht="15" customHeight="1" x14ac:dyDescent="0.25">
      <c r="A14" s="29" t="s">
        <v>129</v>
      </c>
      <c r="B14" s="9" t="s">
        <v>130</v>
      </c>
      <c r="C14" s="9" t="s">
        <v>131</v>
      </c>
    </row>
    <row r="15" spans="1:3" ht="15" customHeight="1" x14ac:dyDescent="0.25">
      <c r="A15" s="29" t="s">
        <v>129</v>
      </c>
      <c r="B15" s="9" t="s">
        <v>33</v>
      </c>
      <c r="C15" s="9" t="s">
        <v>132</v>
      </c>
    </row>
    <row r="16" spans="1:3" ht="15" customHeight="1" x14ac:dyDescent="0.25">
      <c r="A16" s="29" t="s">
        <v>129</v>
      </c>
      <c r="B16" s="9" t="s">
        <v>133</v>
      </c>
      <c r="C16" s="9" t="s">
        <v>134</v>
      </c>
    </row>
    <row r="17" spans="1:3" ht="15" customHeight="1" x14ac:dyDescent="0.25">
      <c r="A17" s="29" t="s">
        <v>129</v>
      </c>
      <c r="B17" s="9" t="s">
        <v>39</v>
      </c>
      <c r="C17" s="9" t="s">
        <v>135</v>
      </c>
    </row>
    <row r="18" spans="1:3" ht="15" customHeight="1" x14ac:dyDescent="0.25">
      <c r="A18" s="29" t="s">
        <v>129</v>
      </c>
      <c r="B18" s="9" t="s">
        <v>136</v>
      </c>
      <c r="C18" s="9" t="s">
        <v>137</v>
      </c>
    </row>
    <row r="19" spans="1:3" ht="15" customHeight="1" x14ac:dyDescent="0.25"/>
    <row r="20" spans="1:3" ht="15" customHeight="1" x14ac:dyDescent="0.25">
      <c r="A20" s="29" t="s">
        <v>138</v>
      </c>
      <c r="B20" s="9" t="s">
        <v>139</v>
      </c>
      <c r="C20" s="9" t="s">
        <v>140</v>
      </c>
    </row>
    <row r="21" spans="1:3" ht="15" customHeight="1" x14ac:dyDescent="0.25">
      <c r="A21" s="29" t="s">
        <v>138</v>
      </c>
      <c r="B21" s="9" t="s">
        <v>141</v>
      </c>
      <c r="C21" s="9" t="s">
        <v>142</v>
      </c>
    </row>
    <row r="22" spans="1:3" ht="15" customHeight="1" x14ac:dyDescent="0.25">
      <c r="A22" s="29" t="s">
        <v>138</v>
      </c>
      <c r="B22" s="9" t="s">
        <v>143</v>
      </c>
      <c r="C22" s="9" t="s">
        <v>144</v>
      </c>
    </row>
    <row r="23" spans="1:3" ht="15" customHeight="1" x14ac:dyDescent="0.25">
      <c r="A23" s="29" t="s">
        <v>138</v>
      </c>
      <c r="B23" s="9" t="s">
        <v>145</v>
      </c>
      <c r="C23" s="9" t="s">
        <v>146</v>
      </c>
    </row>
    <row r="24" spans="1:3" ht="15" customHeight="1" x14ac:dyDescent="0.25">
      <c r="A24" s="29" t="s">
        <v>138</v>
      </c>
      <c r="B24" s="9" t="s">
        <v>147</v>
      </c>
      <c r="C24" s="9" t="s">
        <v>148</v>
      </c>
    </row>
    <row r="25" spans="1:3" ht="15" customHeight="1" x14ac:dyDescent="0.25">
      <c r="A25" s="29" t="s">
        <v>138</v>
      </c>
      <c r="B25" s="9" t="s">
        <v>149</v>
      </c>
      <c r="C25" s="9" t="s">
        <v>150</v>
      </c>
    </row>
    <row r="26" spans="1:3" ht="15" customHeight="1" x14ac:dyDescent="0.25"/>
    <row r="27" spans="1:3" ht="15" customHeight="1" x14ac:dyDescent="0.25">
      <c r="A27" s="29" t="s">
        <v>151</v>
      </c>
      <c r="B27" s="9" t="s">
        <v>53</v>
      </c>
      <c r="C27" s="9" t="s">
        <v>152</v>
      </c>
    </row>
    <row r="28" spans="1:3" ht="15" customHeight="1" x14ac:dyDescent="0.25">
      <c r="A28" s="29" t="s">
        <v>151</v>
      </c>
      <c r="B28" s="9" t="s">
        <v>153</v>
      </c>
      <c r="C28" s="9" t="s">
        <v>154</v>
      </c>
    </row>
    <row r="29" spans="1:3" ht="15" customHeight="1" x14ac:dyDescent="0.25">
      <c r="A29" s="29" t="s">
        <v>151</v>
      </c>
      <c r="B29" s="9" t="s">
        <v>155</v>
      </c>
      <c r="C29" s="9" t="s">
        <v>156</v>
      </c>
    </row>
    <row r="30" spans="1:3" ht="15" customHeight="1" x14ac:dyDescent="0.25"/>
    <row r="31" spans="1:3" ht="15" customHeight="1" x14ac:dyDescent="0.25">
      <c r="A31" s="29" t="s">
        <v>157</v>
      </c>
      <c r="B31" s="9" t="s">
        <v>158</v>
      </c>
      <c r="C31" s="9" t="s">
        <v>159</v>
      </c>
    </row>
    <row r="32" spans="1:3" ht="15" customHeight="1" x14ac:dyDescent="0.25">
      <c r="A32" s="29" t="s">
        <v>157</v>
      </c>
      <c r="B32" s="9" t="s">
        <v>160</v>
      </c>
      <c r="C32" s="9" t="s">
        <v>161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12</vt:i4>
      </vt:variant>
    </vt:vector>
  </HeadingPairs>
  <TitlesOfParts>
    <vt:vector size="14" baseType="lpstr">
      <vt:lpstr>FX Hedge Model</vt:lpstr>
      <vt:lpstr>Notes &amp; Assumptions</vt:lpstr>
      <vt:lpstr>F0</vt:lpstr>
      <vt:lpstr>FC_AMT</vt:lpstr>
      <vt:lpstr>FWD_RESULT</vt:lpstr>
      <vt:lpstr>K_CALL</vt:lpstr>
      <vt:lpstr>K_PUT</vt:lpstr>
      <vt:lpstr>MM_RESULT</vt:lpstr>
      <vt:lpstr>PREM_CALL</vt:lpstr>
      <vt:lpstr>PREM_PUT</vt:lpstr>
      <vt:lpstr>R_EUR</vt:lpstr>
      <vt:lpstr>R_USD</vt:lpstr>
      <vt:lpstr>S0</vt:lpstr>
      <vt:lpstr>T_DAYS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Matthew Furusho</cp:lastModifiedBy>
  <cp:revision>1</cp:revision>
  <dcterms:created xsi:type="dcterms:W3CDTF">2026-04-11T08:55:04Z</dcterms:created>
  <dcterms:modified xsi:type="dcterms:W3CDTF">2026-04-11T09:29:52Z</dcterms:modified>
  <dc:language>en-US</dc:language>
</cp:coreProperties>
</file>