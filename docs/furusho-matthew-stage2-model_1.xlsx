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X Hedge Model" sheetId="1" state="visible" r:id="rId3"/>
    <sheet name="Notes &amp; Assumptions" sheetId="2" state="visible" r:id="rId4"/>
  </sheets>
  <definedNames>
    <definedName function="false" hidden="false" name="F0" vbProcedure="false">'FX Hedge Model'!C8</definedName>
    <definedName function="false" hidden="false" name="FC_AMT" vbProcedure="false">'FX Hedge Model'!C6</definedName>
    <definedName function="false" hidden="false" name="FWD_RESULT" vbProcedure="false">'FX Hedge Model'!D20</definedName>
    <definedName function="false" hidden="false" name="K_CALL" vbProcedure="false">'FX Hedge Model'!C14</definedName>
    <definedName function="false" hidden="false" name="K_PUT" vbProcedure="false">'FX Hedge Model'!C12</definedName>
    <definedName function="false" hidden="false" name="MM_RESULT" vbProcedure="false">'FX Hedge Model'!D27</definedName>
    <definedName function="false" hidden="false" name="PREM_CALL" vbProcedure="false">'FX Hedge Model'!C15</definedName>
    <definedName function="false" hidden="false" name="PREM_PUT" vbProcedure="false">'FX Hedge Model'!C13</definedName>
    <definedName function="false" hidden="false" name="R_EUR" vbProcedure="false">'FX Hedge Model'!C10</definedName>
    <definedName function="false" hidden="false" name="R_USD" vbProcedure="false">'FX Hedge Model'!C9</definedName>
    <definedName function="false" hidden="false" name="S0" vbProcedure="false">'FX Hedge Model'!C7</definedName>
    <definedName function="false" hidden="false" name="T_DAYS" vbProcedure="false">'FX Hedge Model'!C11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<sst xmlns="http://schemas.openxmlformats.org/spreadsheetml/2006/main" count="200" uniqueCount="162">
  <si>
    <t xml:space="preserve">FX RECEIVABLE HEDGE ANALYSIS – EUR/USD</t>
  </si>
  <si>
    <t xml:space="preserve">Matthew Furusho  |  Aerospace Division  |  Analysis Date: April 3, 2026  |  Payment Date: April 3, 2027</t>
  </si>
  <si>
    <t xml:space="preserve">SECTION A — INPUTS  (Yellow = Editable)</t>
  </si>
  <si>
    <t xml:space="preserve">Parameter</t>
  </si>
  <si>
    <t xml:space="preserve">Symbol</t>
  </si>
  <si>
    <t xml:space="preserve">Value</t>
  </si>
  <si>
    <t xml:space="preserve">Units</t>
  </si>
  <si>
    <t xml:space="preserve">Source / Notes</t>
  </si>
  <si>
    <t xml:space="preserve">FC Receivable Amount</t>
  </si>
  <si>
    <t xml:space="preserve">FC_AMT</t>
  </si>
  <si>
    <t xml:space="preserve">EUR</t>
  </si>
  <si>
    <t xml:space="preserve">Stage 1 memo</t>
  </si>
  <si>
    <t xml:space="preserve">Spot Rate (EUR/USD)</t>
  </si>
  <si>
    <t xml:space="preserve">S0</t>
  </si>
  <si>
    <t xml:space="preserve">USD per EUR</t>
  </si>
  <si>
    <t xml:space="preserve">Investing.com, Apr 3 2026</t>
  </si>
  <si>
    <t xml:space="preserve">1-Year Forward Rate</t>
  </si>
  <si>
    <t xml:space="preserve">F0</t>
  </si>
  <si>
    <t xml:space="preserve">Derived via CIP</t>
  </si>
  <si>
    <t xml:space="preserve">USD Interest Rate</t>
  </si>
  <si>
    <t xml:space="preserve">R_USD</t>
  </si>
  <si>
    <t xml:space="preserve">Annual</t>
  </si>
  <si>
    <t xml:space="preserve">Fed Funds (upper bound)</t>
  </si>
  <si>
    <t xml:space="preserve">EUR Interest Rate</t>
  </si>
  <si>
    <t xml:space="preserve">R_EUR</t>
  </si>
  <si>
    <t xml:space="preserve">ECB Deposit Facility</t>
  </si>
  <si>
    <t xml:space="preserve">Time Horizon (days)</t>
  </si>
  <si>
    <t xml:space="preserve">T_DAYS</t>
  </si>
  <si>
    <t xml:space="preserve">Days</t>
  </si>
  <si>
    <t xml:space="preserve">Apr 3 2026 → Apr 3 2027</t>
  </si>
  <si>
    <t xml:space="preserve">Put Strike</t>
  </si>
  <si>
    <t xml:space="preserve">K_PUT</t>
  </si>
  <si>
    <t xml:space="preserve">ATM (=S0)</t>
  </si>
  <si>
    <t xml:space="preserve">Put Premium</t>
  </si>
  <si>
    <t xml:space="preserve">PREM_PUT</t>
  </si>
  <si>
    <t xml:space="preserve">Stage 1 memo estimate</t>
  </si>
  <si>
    <t xml:space="preserve">Call Strike</t>
  </si>
  <si>
    <t xml:space="preserve">K_CALL</t>
  </si>
  <si>
    <t xml:space="preserve">OTM call (illustrative)</t>
  </si>
  <si>
    <t xml:space="preserve">Call Premium</t>
  </si>
  <si>
    <t xml:space="preserve">PREM_CALL</t>
  </si>
  <si>
    <t xml:space="preserve">Illustrative</t>
  </si>
  <si>
    <t xml:space="preserve">SECTION B — FORWARD CONTRACT HEDGE</t>
  </si>
  <si>
    <t xml:space="preserve">Step</t>
  </si>
  <si>
    <t xml:space="preserve">Description</t>
  </si>
  <si>
    <t xml:space="preserve">Formula / Value</t>
  </si>
  <si>
    <t xml:space="preserve">USD Amount</t>
  </si>
  <si>
    <t xml:space="preserve">1</t>
  </si>
  <si>
    <t xml:space="preserve">Lock in forward rate today</t>
  </si>
  <si>
    <t xml:space="preserve">2 (Output)</t>
  </si>
  <si>
    <t xml:space="preserve">USD Proceeds – Forward Hedge</t>
  </si>
  <si>
    <t xml:space="preserve">FC_AMT × F0</t>
  </si>
  <si>
    <t xml:space="preserve">SECTION C — MONEY MARKET HEDGE</t>
  </si>
  <si>
    <t xml:space="preserve">Formula</t>
  </si>
  <si>
    <t xml:space="preserve">PV of FC receivable to borrow today</t>
  </si>
  <si>
    <t xml:space="preserve">2</t>
  </si>
  <si>
    <t xml:space="preserve">Convert borrowed EUR to USD at spot</t>
  </si>
  <si>
    <t xml:space="preserve">3</t>
  </si>
  <si>
    <t xml:space="preserve">Invest USD for T days at R_USD</t>
  </si>
  <si>
    <t xml:space="preserve">4 (Output)</t>
  </si>
  <si>
    <t xml:space="preserve">USD Proceeds – Money Market Hedge</t>
  </si>
  <si>
    <t xml:space="preserve">Full chain formula</t>
  </si>
  <si>
    <t xml:space="preserve">Parity Check</t>
  </si>
  <si>
    <t xml:space="preserve">FWD vs MM difference (should be ~0)</t>
  </si>
  <si>
    <t xml:space="preserve">SECTION D — OPTION HEDGES  (Put &amp; Call)</t>
  </si>
  <si>
    <t xml:space="preserve">Item</t>
  </si>
  <si>
    <t xml:space="preserve">Notes</t>
  </si>
  <si>
    <t xml:space="preserve">Total Put Premium (USD)</t>
  </si>
  <si>
    <t xml:space="preserve">PREM_PUT*FC_AMT</t>
  </si>
  <si>
    <t xml:space="preserve">Upfront cost</t>
  </si>
  <si>
    <t xml:space="preserve">Total Call Premium (USD)</t>
  </si>
  <si>
    <t xml:space="preserve">PREM_CALL*FC_AMT</t>
  </si>
  <si>
    <t xml:space="preserve">Upfront cost (if collar)</t>
  </si>
  <si>
    <t xml:space="preserve">Net Collar Cost (USD)</t>
  </si>
  <si>
    <t xml:space="preserve">C32-C33</t>
  </si>
  <si>
    <t xml:space="preserve">Put bought, call sold</t>
  </si>
  <si>
    <t xml:space="preserve">Put Option – Net USD @ Maturity Spot S_T</t>
  </si>
  <si>
    <t xml:space="preserve">↑ Use sensitivity table below for S_T range</t>
  </si>
  <si>
    <t xml:space="preserve">SECTION E — SENSITIVITY TABLE  (S_T varies ±5% around S0)</t>
  </si>
  <si>
    <t xml:space="preserve">S_T Multiplier</t>
  </si>
  <si>
    <t xml:space="preserve">S_T (USD/EUR)</t>
  </si>
  <si>
    <t xml:space="preserve">Unhedged (USD)</t>
  </si>
  <si>
    <t xml:space="preserve">Forward Hedge (USD)</t>
  </si>
  <si>
    <t xml:space="preserve">MM Hedge (USD)</t>
  </si>
  <si>
    <t xml:space="preserve">Put Net Proceeds (USD)</t>
  </si>
  <si>
    <t xml:space="preserve">Collar Net Proceeds (USD)</t>
  </si>
  <si>
    <t xml:space="preserve">SECTION F — SUMMARY OUTPUT  (Gray = Outputs)</t>
  </si>
  <si>
    <t xml:space="preserve">Strategy</t>
  </si>
  <si>
    <t xml:space="preserve">USD Proceeds</t>
  </si>
  <si>
    <t xml:space="preserve">vs Unhedged (USD)</t>
  </si>
  <si>
    <t xml:space="preserve">vs Unhedged (%)</t>
  </si>
  <si>
    <t xml:space="preserve">Key Tradeoff</t>
  </si>
  <si>
    <t xml:space="preserve">Unhedged (at spot)</t>
  </si>
  <si>
    <t xml:space="preserve">—</t>
  </si>
  <si>
    <t xml:space="preserve">Full upside &amp; downside</t>
  </si>
  <si>
    <t xml:space="preserve">Forward Contract</t>
  </si>
  <si>
    <t xml:space="preserve">Certainty; no upside</t>
  </si>
  <si>
    <t xml:space="preserve">Money Market Hedge</t>
  </si>
  <si>
    <t xml:space="preserve">Replicates forward; uses B/S</t>
  </si>
  <si>
    <t xml:space="preserve">Put Option (floor at K)</t>
  </si>
  <si>
    <t xml:space="preserve">Floor + upside; costs premium</t>
  </si>
  <si>
    <t xml:space="preserve">Collar Strategy</t>
  </si>
  <si>
    <t xml:space="preserve">Bounded range; low net cost</t>
  </si>
  <si>
    <t xml:space="preserve">CFO Recommendation</t>
  </si>
  <si>
    <t xml:space="preserve">TBD – Stage 4</t>
  </si>
  <si>
    <t xml:space="preserve">Complete in Stage 4</t>
  </si>
  <si>
    <t xml:space="preserve">NOTES &amp; ASSUMPTIONS</t>
  </si>
  <si>
    <t xml:space="preserve">SECTION</t>
  </si>
  <si>
    <t xml:space="preserve">Detail</t>
  </si>
  <si>
    <t xml:space="preserve">Model Overview</t>
  </si>
  <si>
    <t xml:space="preserve">Purpose</t>
  </si>
  <si>
    <t xml:space="preserve">Compare EUR/USD FX hedge strategies for €20M receivable due Apr 3 2027</t>
  </si>
  <si>
    <t xml:space="preserve">Author</t>
  </si>
  <si>
    <t xml:space="preserve">Matthew Furusho, Aerospace Division Treasury</t>
  </si>
  <si>
    <t xml:space="preserve">Version</t>
  </si>
  <si>
    <t xml:space="preserve">1.0 – Stage 2 deliverable</t>
  </si>
  <si>
    <t xml:space="preserve">LLM Assist</t>
  </si>
  <si>
    <t xml:space="preserve">Claude (Anthropic)</t>
  </si>
  <si>
    <t xml:space="preserve">Rates &amp; Market Data</t>
  </si>
  <si>
    <t xml:space="preserve">Spot Rate (S0)</t>
  </si>
  <si>
    <t xml:space="preserve">1.1544 USD/EUR – Investing.com, April 3 2026</t>
  </si>
  <si>
    <t xml:space="preserve">Forward Rate (F0)</t>
  </si>
  <si>
    <t xml:space="preserve">1.0935 USD/EUR – Derived from CIP; consistent with 1.75% USD-EUR rate differential</t>
  </si>
  <si>
    <t xml:space="preserve">USD Rate (R_USD)</t>
  </si>
  <si>
    <t xml:space="preserve">3.75% – Fed Funds upper bound, March 2026</t>
  </si>
  <si>
    <t xml:space="preserve">EUR Rate (R_EUR)</t>
  </si>
  <si>
    <t xml:space="preserve">2.00% – ECB Deposit Facility Rate, February 2026</t>
  </si>
  <si>
    <t xml:space="preserve">Time Horizon</t>
  </si>
  <si>
    <t xml:space="preserve">365 days – exact calendar; no day-count adjustment applied</t>
  </si>
  <si>
    <t xml:space="preserve">Options</t>
  </si>
  <si>
    <t xml:space="preserve">Put Strike (K_PUT)</t>
  </si>
  <si>
    <t xml:space="preserve">1.1544 – ATM, set equal to current spot S0</t>
  </si>
  <si>
    <t xml:space="preserve">$0.019/EUR (~$380,000 total) – Stage 1 estimate; market quote needed for execution</t>
  </si>
  <si>
    <t xml:space="preserve">Call Strike (K_CALL)</t>
  </si>
  <si>
    <t xml:space="preserve">1.2000 – OTM call used for illustrative collar strategy</t>
  </si>
  <si>
    <t xml:space="preserve">$0.010/EUR – Illustrative; adjust with live quote</t>
  </si>
  <si>
    <t xml:space="preserve">Option Style</t>
  </si>
  <si>
    <t xml:space="preserve">Assumed European-style; no early exercise modeled</t>
  </si>
  <si>
    <t xml:space="preserve">Simplifications</t>
  </si>
  <si>
    <t xml:space="preserve">Bid-Ask Spreads</t>
  </si>
  <si>
    <t xml:space="preserve">Ignored – model uses mid-market rates throughout</t>
  </si>
  <si>
    <t xml:space="preserve">Transaction Costs</t>
  </si>
  <si>
    <t xml:space="preserve">Not included; add broker fees before final execution</t>
  </si>
  <si>
    <t xml:space="preserve">Compounding</t>
  </si>
  <si>
    <t xml:space="preserve">Simple interest assumed for both USD and EUR rates</t>
  </si>
  <si>
    <t xml:space="preserve">Day-Count Convention</t>
  </si>
  <si>
    <t xml:space="preserve">Actual/365 implied; rate inputs are annual flat rates</t>
  </si>
  <si>
    <t xml:space="preserve">Credit Risk</t>
  </si>
  <si>
    <t xml:space="preserve">Counterparty risk on forward/option contracts not modeled</t>
  </si>
  <si>
    <t xml:space="preserve">Balance Sheet Impact</t>
  </si>
  <si>
    <t xml:space="preserve">MM hedge draws on EUR credit facility; capacity not verified</t>
  </si>
  <si>
    <t xml:space="preserve">CIP Parity Check</t>
  </si>
  <si>
    <t xml:space="preserve">F0 = S0 × (1 + R_USD) / (1 + R_EUR)</t>
  </si>
  <si>
    <t xml:space="preserve">Expected F0</t>
  </si>
  <si>
    <t xml:space="preserve">1.1544*(1+0.0375)/(1+0.02) ≈ 1.1944  [Note: memo uses 1.0935 — confirm with desk]</t>
  </si>
  <si>
    <t xml:space="preserve">Action</t>
  </si>
  <si>
    <t xml:space="preserve">If live forward quote differs materially from CIP implied, flag to CFO</t>
  </si>
  <si>
    <t xml:space="preserve">Stage Roadmap</t>
  </si>
  <si>
    <t xml:space="preserve">Stage 3</t>
  </si>
  <si>
    <t xml:space="preserve">Technical specification documenting model logic and improved design</t>
  </si>
  <si>
    <t xml:space="preserve">Stage 4</t>
  </si>
  <si>
    <t xml:space="preserve">AI-structured prompt, hedge recommendation, CFO presentation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</si>
</sst>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000"/>
    <numFmt numFmtId="167" formatCode="0.000%"/>
    <numFmt numFmtId="168" formatCode="0"/>
    <numFmt numFmtId="169" formatCode="#,##0;\(#,##0\);\-"/>
    <numFmt numFmtId="170" formatCode="0.00"/>
    <numFmt numFmtId="171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2E75B6"/>
        <bgColor rgb="FF4A7EBB"/>
      </patternFill>
    </fill>
    <fill>
      <patternFill patternType="solid">
        <fgColor rgb="FFE2EFDA"/>
        <bgColor rgb="FFF2F2F2"/>
      </patternFill>
    </fill>
    <fill>
      <patternFill patternType="solid">
        <fgColor rgb="FFD9D9D9"/>
        <bgColor rgb="FFBDD7EE"/>
      </patternFill>
    </fill>
    <fill>
      <patternFill patternType="solid">
        <fgColor rgb="FF375623"/>
        <bgColor rgb="FF333300"/>
      </patternFill>
    </fill>
    <fill>
      <patternFill patternType="solid">
        <fgColor rgb="FF7030A0"/>
        <bgColor rgb="FF7D5FA0"/>
      </patternFill>
    </fill>
    <fill>
      <patternFill patternType="solid">
        <fgColor rgb="FFC55A11"/>
        <bgColor rgb="FFBE4B48"/>
      </patternFill>
    </fill>
    <fill>
      <patternFill patternType="solid">
        <fgColor rgb="FFFFF2CC"/>
        <bgColor rgb="FFF2F2F2"/>
      </patternFill>
    </fill>
    <fill>
      <patternFill patternType="solid">
        <fgColor rgb="FFBDD7E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BE4B48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46AAC4"/>
      <rgbColor rgb="FF98B855"/>
      <rgbColor rgb="FFFFCC00"/>
      <rgbColor rgb="FFFF9900"/>
      <rgbColor rgb="FFC55A11"/>
      <rgbColor rgb="FF7D5FA0"/>
      <rgbColor rgb="FF969696"/>
      <rgbColor rgb="FF003366"/>
      <rgbColor rgb="FF4A7EBB"/>
      <rgbColor rgb="FF003300"/>
      <rgbColor rgb="FF333300"/>
      <rgbColor rgb="FF993300"/>
      <rgbColor rgb="FF7030A0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EUR/USD Hedge Strategy Comparison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"Unhedged"</c:f>
              <c:strCache>
                <c:ptCount val="1"/>
                <c:pt idx="0">
                  <c:v>Unhedged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'FX Hedge Model'!$B$40:$B$50</c:f>
              <c:strCache>
                <c:ptCount val="11"/>
                <c:pt idx="0">
                  <c:v>1.0967</c:v>
                </c:pt>
                <c:pt idx="1">
                  <c:v>1.1082</c:v>
                </c:pt>
                <c:pt idx="2">
                  <c:v>1.1198</c:v>
                </c:pt>
                <c:pt idx="3">
                  <c:v>1.1313</c:v>
                </c:pt>
                <c:pt idx="4">
                  <c:v>1.1429</c:v>
                </c:pt>
                <c:pt idx="5">
                  <c:v>1.1544</c:v>
                </c:pt>
                <c:pt idx="6">
                  <c:v>1.1659</c:v>
                </c:pt>
                <c:pt idx="7">
                  <c:v>1.1775</c:v>
                </c:pt>
                <c:pt idx="8">
                  <c:v>1.1890</c:v>
                </c:pt>
                <c:pt idx="9">
                  <c:v>1.2006</c:v>
                </c:pt>
                <c:pt idx="10">
                  <c:v>1.2121</c:v>
                </c:pt>
              </c:strCache>
            </c:strRef>
          </c:cat>
          <c:val>
            <c:numRef>
              <c:f>'FX Hedge Model'!$C$40:$C$50</c:f>
              <c:numCache>
                <c:formatCode>#,##0;\(#,##0\);\-</c:formatCode>
                <c:ptCount val="11"/>
                <c:pt idx="0">
                  <c:v>21933600</c:v>
                </c:pt>
                <c:pt idx="1">
                  <c:v>22164480</c:v>
                </c:pt>
                <c:pt idx="2">
                  <c:v>22395360</c:v>
                </c:pt>
                <c:pt idx="3">
                  <c:v>22626240</c:v>
                </c:pt>
                <c:pt idx="4">
                  <c:v>22857120</c:v>
                </c:pt>
                <c:pt idx="5">
                  <c:v>23088000</c:v>
                </c:pt>
                <c:pt idx="6">
                  <c:v>23318880</c:v>
                </c:pt>
                <c:pt idx="7">
                  <c:v>23549760</c:v>
                </c:pt>
                <c:pt idx="8">
                  <c:v>23780640</c:v>
                </c:pt>
                <c:pt idx="9">
                  <c:v>24011520</c:v>
                </c:pt>
                <c:pt idx="10">
                  <c:v>24242400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"Forward"</c:f>
              <c:strCache>
                <c:ptCount val="1"/>
                <c:pt idx="0">
                  <c:v>Forward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'FX Hedge Model'!$B$40:$B$50</c:f>
              <c:strCache>
                <c:ptCount val="11"/>
                <c:pt idx="0">
                  <c:v>1.0967</c:v>
                </c:pt>
                <c:pt idx="1">
                  <c:v>1.1082</c:v>
                </c:pt>
                <c:pt idx="2">
                  <c:v>1.1198</c:v>
                </c:pt>
                <c:pt idx="3">
                  <c:v>1.1313</c:v>
                </c:pt>
                <c:pt idx="4">
                  <c:v>1.1429</c:v>
                </c:pt>
                <c:pt idx="5">
                  <c:v>1.1544</c:v>
                </c:pt>
                <c:pt idx="6">
                  <c:v>1.1659</c:v>
                </c:pt>
                <c:pt idx="7">
                  <c:v>1.1775</c:v>
                </c:pt>
                <c:pt idx="8">
                  <c:v>1.1890</c:v>
                </c:pt>
                <c:pt idx="9">
                  <c:v>1.2006</c:v>
                </c:pt>
                <c:pt idx="10">
                  <c:v>1.2121</c:v>
                </c:pt>
              </c:strCache>
            </c:strRef>
          </c:cat>
          <c:val>
            <c:numRef>
              <c:f>'FX Hedge Model'!$D$40:$D$50</c:f>
              <c:numCache>
                <c:formatCode>#,##0;\(#,##0\);\-</c:formatCode>
                <c:ptCount val="11"/>
                <c:pt idx="0">
                  <c:v>21870000</c:v>
                </c:pt>
                <c:pt idx="1">
                  <c:v>21870000</c:v>
                </c:pt>
                <c:pt idx="2">
                  <c:v>21870000</c:v>
                </c:pt>
                <c:pt idx="3">
                  <c:v>21870000</c:v>
                </c:pt>
                <c:pt idx="4">
                  <c:v>21870000</c:v>
                </c:pt>
                <c:pt idx="5">
                  <c:v>21870000</c:v>
                </c:pt>
                <c:pt idx="6">
                  <c:v>21870000</c:v>
                </c:pt>
                <c:pt idx="7">
                  <c:v>21870000</c:v>
                </c:pt>
                <c:pt idx="8">
                  <c:v>21870000</c:v>
                </c:pt>
                <c:pt idx="9">
                  <c:v>21870000</c:v>
                </c:pt>
                <c:pt idx="10">
                  <c:v>21870000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"MM Hedge"</c:f>
              <c:strCache>
                <c:ptCount val="1"/>
                <c:pt idx="0">
                  <c:v>MM Hedge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'FX Hedge Model'!$B$40:$B$50</c:f>
              <c:strCache>
                <c:ptCount val="11"/>
                <c:pt idx="0">
                  <c:v>1.0967</c:v>
                </c:pt>
                <c:pt idx="1">
                  <c:v>1.1082</c:v>
                </c:pt>
                <c:pt idx="2">
                  <c:v>1.1198</c:v>
                </c:pt>
                <c:pt idx="3">
                  <c:v>1.1313</c:v>
                </c:pt>
                <c:pt idx="4">
                  <c:v>1.1429</c:v>
                </c:pt>
                <c:pt idx="5">
                  <c:v>1.1544</c:v>
                </c:pt>
                <c:pt idx="6">
                  <c:v>1.1659</c:v>
                </c:pt>
                <c:pt idx="7">
                  <c:v>1.1775</c:v>
                </c:pt>
                <c:pt idx="8">
                  <c:v>1.1890</c:v>
                </c:pt>
                <c:pt idx="9">
                  <c:v>1.2006</c:v>
                </c:pt>
                <c:pt idx="10">
                  <c:v>1.2121</c:v>
                </c:pt>
              </c:strCache>
            </c:strRef>
          </c:cat>
          <c:val>
            <c:numRef>
              <c:f>'FX Hedge Model'!$E$40:$E$50</c:f>
              <c:numCache>
                <c:formatCode>#,##0;\(#,##0\);\-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"Put Option"</c:f>
              <c:strCache>
                <c:ptCount val="1"/>
                <c:pt idx="0">
                  <c:v>Put Option</c:v>
                </c:pt>
              </c:strCache>
            </c:strRef>
          </c:tx>
          <c:spPr>
            <a:solidFill>
              <a:srgbClr val="7d5fa0"/>
            </a:solidFill>
            <a:ln w="4752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'FX Hedge Model'!$B$40:$B$50</c:f>
              <c:strCache>
                <c:ptCount val="11"/>
                <c:pt idx="0">
                  <c:v>1.0967</c:v>
                </c:pt>
                <c:pt idx="1">
                  <c:v>1.1082</c:v>
                </c:pt>
                <c:pt idx="2">
                  <c:v>1.1198</c:v>
                </c:pt>
                <c:pt idx="3">
                  <c:v>1.1313</c:v>
                </c:pt>
                <c:pt idx="4">
                  <c:v>1.1429</c:v>
                </c:pt>
                <c:pt idx="5">
                  <c:v>1.1544</c:v>
                </c:pt>
                <c:pt idx="6">
                  <c:v>1.1659</c:v>
                </c:pt>
                <c:pt idx="7">
                  <c:v>1.1775</c:v>
                </c:pt>
                <c:pt idx="8">
                  <c:v>1.1890</c:v>
                </c:pt>
                <c:pt idx="9">
                  <c:v>1.2006</c:v>
                </c:pt>
                <c:pt idx="10">
                  <c:v>1.2121</c:v>
                </c:pt>
              </c:strCache>
            </c:strRef>
          </c:cat>
          <c:val>
            <c:numRef>
              <c:f>'FX Hedge Model'!$F$40:$F$50</c:f>
              <c:numCache>
                <c:formatCode>#,##0;\(#,##0\);\-</c:formatCode>
                <c:ptCount val="11"/>
                <c:pt idx="0">
                  <c:v>22708000</c:v>
                </c:pt>
                <c:pt idx="1">
                  <c:v>22708000</c:v>
                </c:pt>
                <c:pt idx="2">
                  <c:v>22708000</c:v>
                </c:pt>
                <c:pt idx="3">
                  <c:v>22708000</c:v>
                </c:pt>
                <c:pt idx="4">
                  <c:v>22708000</c:v>
                </c:pt>
                <c:pt idx="5">
                  <c:v>22708000</c:v>
                </c:pt>
                <c:pt idx="6">
                  <c:v>22938880</c:v>
                </c:pt>
                <c:pt idx="7">
                  <c:v>23169760</c:v>
                </c:pt>
                <c:pt idx="8">
                  <c:v>23400640</c:v>
                </c:pt>
                <c:pt idx="9">
                  <c:v>23631520</c:v>
                </c:pt>
                <c:pt idx="10">
                  <c:v>23862400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"Collar"</c:f>
              <c:strCache>
                <c:ptCount val="1"/>
                <c:pt idx="0">
                  <c:v>Collar</c:v>
                </c:pt>
              </c:strCache>
            </c:strRef>
          </c:tx>
          <c:spPr>
            <a:solidFill>
              <a:srgbClr val="46aac4"/>
            </a:solidFill>
            <a:ln w="4752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'FX Hedge Model'!$B$40:$B$50</c:f>
              <c:strCache>
                <c:ptCount val="11"/>
                <c:pt idx="0">
                  <c:v>1.0967</c:v>
                </c:pt>
                <c:pt idx="1">
                  <c:v>1.1082</c:v>
                </c:pt>
                <c:pt idx="2">
                  <c:v>1.1198</c:v>
                </c:pt>
                <c:pt idx="3">
                  <c:v>1.1313</c:v>
                </c:pt>
                <c:pt idx="4">
                  <c:v>1.1429</c:v>
                </c:pt>
                <c:pt idx="5">
                  <c:v>1.1544</c:v>
                </c:pt>
                <c:pt idx="6">
                  <c:v>1.1659</c:v>
                </c:pt>
                <c:pt idx="7">
                  <c:v>1.1775</c:v>
                </c:pt>
                <c:pt idx="8">
                  <c:v>1.1890</c:v>
                </c:pt>
                <c:pt idx="9">
                  <c:v>1.2006</c:v>
                </c:pt>
                <c:pt idx="10">
                  <c:v>1.2121</c:v>
                </c:pt>
              </c:strCache>
            </c:strRef>
          </c:cat>
          <c:val>
            <c:numRef>
              <c:f>'FX Hedge Model'!$G$40:$G$50</c:f>
              <c:numCache>
                <c:formatCode>#,##0;\(#,##0\);\-</c:formatCode>
                <c:ptCount val="11"/>
                <c:pt idx="0">
                  <c:v>22908000</c:v>
                </c:pt>
                <c:pt idx="1">
                  <c:v>22908000</c:v>
                </c:pt>
                <c:pt idx="2">
                  <c:v>22908000</c:v>
                </c:pt>
                <c:pt idx="3">
                  <c:v>22908000</c:v>
                </c:pt>
                <c:pt idx="4">
                  <c:v>22908000</c:v>
                </c:pt>
                <c:pt idx="5">
                  <c:v>22908000</c:v>
                </c:pt>
                <c:pt idx="6">
                  <c:v>23138880</c:v>
                </c:pt>
                <c:pt idx="7">
                  <c:v>23369760</c:v>
                </c:pt>
                <c:pt idx="8">
                  <c:v>23600640</c:v>
                </c:pt>
                <c:pt idx="9">
                  <c:v>23820000</c:v>
                </c:pt>
                <c:pt idx="10">
                  <c:v>23820000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8531035"/>
        <c:axId val="7054322"/>
      </c:lineChart>
      <c:catAx>
        <c:axId val="185310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S_T (EUR/USD)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54322"/>
        <c:crosses val="autoZero"/>
        <c:auto val="1"/>
        <c:lblAlgn val="ctr"/>
        <c:lblOffset val="100"/>
        <c:noMultiLvlLbl val="0"/>
      </c:catAx>
      <c:valAx>
        <c:axId val="70543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 Proceeds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53103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47</xdr:row>
      <xdr:rowOff>169920</xdr:rowOff>
    </xdr:from>
    <xdr:to>
      <xdr:col>5</xdr:col>
      <xdr:colOff>25200</xdr:colOff>
      <xdr:row>70</xdr:row>
      <xdr:rowOff>89280</xdr:rowOff>
    </xdr:to>
    <xdr:graphicFrame>
      <xdr:nvGraphicFramePr>
        <xdr:cNvPr id="0" name="Chart 1"/>
        <xdr:cNvGraphicFramePr/>
      </xdr:nvGraphicFramePr>
      <xdr:xfrm>
        <a:off x="0" y="1033452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7" min="3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9.5" hidden="false" customHeight="tru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15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.75" hidden="false" customHeight="true" outlineLevel="0" collapsed="false">
      <c r="A6" s="5" t="s">
        <v>8</v>
      </c>
      <c r="B6" s="5" t="s">
        <v>9</v>
      </c>
      <c r="C6" s="6" t="n">
        <v>20000000</v>
      </c>
      <c r="D6" s="5" t="s">
        <v>10</v>
      </c>
      <c r="E6" s="5" t="s">
        <v>11</v>
      </c>
    </row>
    <row r="7" customFormat="false" ht="15.75" hidden="false" customHeight="true" outlineLevel="0" collapsed="false">
      <c r="A7" s="5" t="s">
        <v>12</v>
      </c>
      <c r="B7" s="5" t="s">
        <v>13</v>
      </c>
      <c r="C7" s="7" t="n">
        <v>1.1544</v>
      </c>
      <c r="D7" s="5" t="s">
        <v>14</v>
      </c>
      <c r="E7" s="5" t="s">
        <v>15</v>
      </c>
    </row>
    <row r="8" customFormat="false" ht="15.75" hidden="false" customHeight="true" outlineLevel="0" collapsed="false">
      <c r="A8" s="5" t="s">
        <v>16</v>
      </c>
      <c r="B8" s="5" t="s">
        <v>17</v>
      </c>
      <c r="C8" s="7" t="n">
        <v>1.0935</v>
      </c>
      <c r="D8" s="5" t="s">
        <v>14</v>
      </c>
      <c r="E8" s="5" t="s">
        <v>18</v>
      </c>
    </row>
    <row r="9" customFormat="false" ht="15.75" hidden="false" customHeight="true" outlineLevel="0" collapsed="false">
      <c r="A9" s="5" t="s">
        <v>19</v>
      </c>
      <c r="B9" s="5" t="s">
        <v>20</v>
      </c>
      <c r="C9" s="8" t="n">
        <v>0.0375</v>
      </c>
      <c r="D9" s="5" t="s">
        <v>21</v>
      </c>
      <c r="E9" s="5" t="s">
        <v>22</v>
      </c>
    </row>
    <row r="10" customFormat="false" ht="15.75" hidden="false" customHeight="true" outlineLevel="0" collapsed="false">
      <c r="A10" s="5" t="s">
        <v>23</v>
      </c>
      <c r="B10" s="5" t="s">
        <v>24</v>
      </c>
      <c r="C10" s="8" t="n">
        <v>0.02</v>
      </c>
      <c r="D10" s="5" t="s">
        <v>21</v>
      </c>
      <c r="E10" s="5" t="s">
        <v>25</v>
      </c>
    </row>
    <row r="11" customFormat="false" ht="15.75" hidden="false" customHeight="true" outlineLevel="0" collapsed="false">
      <c r="A11" s="5" t="s">
        <v>26</v>
      </c>
      <c r="B11" s="5" t="s">
        <v>27</v>
      </c>
      <c r="C11" s="9" t="n">
        <v>365</v>
      </c>
      <c r="D11" s="5" t="s">
        <v>28</v>
      </c>
      <c r="E11" s="5" t="s">
        <v>29</v>
      </c>
    </row>
    <row r="12" customFormat="false" ht="15.75" hidden="false" customHeight="true" outlineLevel="0" collapsed="false">
      <c r="A12" s="5" t="s">
        <v>30</v>
      </c>
      <c r="B12" s="5" t="s">
        <v>31</v>
      </c>
      <c r="C12" s="7" t="n">
        <v>1.1544</v>
      </c>
      <c r="D12" s="5" t="s">
        <v>14</v>
      </c>
      <c r="E12" s="5" t="s">
        <v>32</v>
      </c>
    </row>
    <row r="13" customFormat="false" ht="15.75" hidden="false" customHeight="true" outlineLevel="0" collapsed="false">
      <c r="A13" s="5" t="s">
        <v>33</v>
      </c>
      <c r="B13" s="5" t="s">
        <v>34</v>
      </c>
      <c r="C13" s="7" t="n">
        <v>0.019</v>
      </c>
      <c r="D13" s="5" t="s">
        <v>14</v>
      </c>
      <c r="E13" s="5" t="s">
        <v>35</v>
      </c>
    </row>
    <row r="14" customFormat="false" ht="15.75" hidden="false" customHeight="true" outlineLevel="0" collapsed="false">
      <c r="A14" s="5" t="s">
        <v>36</v>
      </c>
      <c r="B14" s="5" t="s">
        <v>37</v>
      </c>
      <c r="C14" s="7" t="n">
        <v>1.2</v>
      </c>
      <c r="D14" s="5" t="s">
        <v>14</v>
      </c>
      <c r="E14" s="5" t="s">
        <v>38</v>
      </c>
    </row>
    <row r="15" customFormat="false" ht="15.75" hidden="false" customHeight="true" outlineLevel="0" collapsed="false">
      <c r="A15" s="5" t="s">
        <v>39</v>
      </c>
      <c r="B15" s="5" t="s">
        <v>40</v>
      </c>
      <c r="C15" s="7" t="n">
        <v>0.01</v>
      </c>
      <c r="D15" s="5" t="s">
        <v>14</v>
      </c>
      <c r="E15" s="5" t="s">
        <v>41</v>
      </c>
    </row>
    <row r="17" customFormat="false" ht="15" hidden="false" customHeight="true" outlineLevel="0" collapsed="false">
      <c r="A17" s="10" t="s">
        <v>42</v>
      </c>
      <c r="B17" s="10"/>
      <c r="C17" s="10"/>
      <c r="D17" s="10"/>
      <c r="E17" s="10"/>
      <c r="F17" s="10"/>
      <c r="G17" s="10"/>
    </row>
    <row r="18" customFormat="false" ht="15" hidden="false" customHeight="false" outlineLevel="0" collapsed="false">
      <c r="A18" s="11" t="s">
        <v>43</v>
      </c>
      <c r="B18" s="11" t="s">
        <v>44</v>
      </c>
      <c r="C18" s="11" t="s">
        <v>45</v>
      </c>
      <c r="D18" s="11" t="s">
        <v>46</v>
      </c>
    </row>
    <row r="19" customFormat="false" ht="23.85" hidden="false" customHeight="false" outlineLevel="0" collapsed="false">
      <c r="A19" s="5" t="s">
        <v>47</v>
      </c>
      <c r="B19" s="5" t="s">
        <v>48</v>
      </c>
      <c r="C19" s="12" t="n">
        <f aca="false">C8</f>
        <v>1.0935</v>
      </c>
      <c r="D19" s="13" t="n">
        <f aca="false">$C$6*$C$8</f>
        <v>21870000</v>
      </c>
    </row>
    <row r="20" customFormat="false" ht="23.85" hidden="false" customHeight="false" outlineLevel="0" collapsed="false">
      <c r="A20" s="5" t="s">
        <v>49</v>
      </c>
      <c r="B20" s="5" t="s">
        <v>50</v>
      </c>
      <c r="C20" s="14" t="s">
        <v>51</v>
      </c>
      <c r="D20" s="15" t="n">
        <f aca="false">$C$6*$C$8</f>
        <v>21870000</v>
      </c>
    </row>
    <row r="22" customFormat="false" ht="15" hidden="false" customHeight="true" outlineLevel="0" collapsed="false">
      <c r="A22" s="16" t="s">
        <v>52</v>
      </c>
      <c r="B22" s="16"/>
      <c r="C22" s="16"/>
      <c r="D22" s="16"/>
      <c r="E22" s="16"/>
      <c r="F22" s="16"/>
      <c r="G22" s="16"/>
    </row>
    <row r="23" customFormat="false" ht="15" hidden="false" customHeight="false" outlineLevel="0" collapsed="false">
      <c r="A23" s="17" t="s">
        <v>43</v>
      </c>
      <c r="B23" s="17" t="s">
        <v>44</v>
      </c>
      <c r="C23" s="17" t="s">
        <v>53</v>
      </c>
      <c r="D23" s="17" t="s">
        <v>5</v>
      </c>
    </row>
    <row r="24" customFormat="false" ht="15.75" hidden="false" customHeight="true" outlineLevel="0" collapsed="false">
      <c r="A24" s="5" t="s">
        <v>47</v>
      </c>
      <c r="B24" s="5" t="s">
        <v>54</v>
      </c>
      <c r="C24" s="13" t="n">
        <f aca="false">FC_AMT/(1+R_EUR)</f>
        <v>0</v>
      </c>
      <c r="D24" s="13" t="n">
        <f aca="false">FC_AMT/(1+R_EUR)</f>
        <v>0</v>
      </c>
    </row>
    <row r="25" customFormat="false" ht="15.75" hidden="false" customHeight="true" outlineLevel="0" collapsed="false">
      <c r="A25" s="5" t="s">
        <v>55</v>
      </c>
      <c r="B25" s="5" t="s">
        <v>56</v>
      </c>
      <c r="C25" s="13" t="n">
        <f aca="false">C24*S0</f>
        <v>0</v>
      </c>
      <c r="D25" s="13" t="n">
        <f aca="false">C24*S0</f>
        <v>0</v>
      </c>
    </row>
    <row r="26" customFormat="false" ht="15.75" hidden="false" customHeight="true" outlineLevel="0" collapsed="false">
      <c r="A26" s="5" t="s">
        <v>57</v>
      </c>
      <c r="B26" s="5" t="s">
        <v>58</v>
      </c>
      <c r="C26" s="13" t="n">
        <f aca="false">C25*(1+R_USD)</f>
        <v>0</v>
      </c>
      <c r="D26" s="13" t="n">
        <f aca="false">C25*(1+R_USD)</f>
        <v>0</v>
      </c>
    </row>
    <row r="27" customFormat="false" ht="15.75" hidden="false" customHeight="true" outlineLevel="0" collapsed="false">
      <c r="A27" s="5" t="s">
        <v>59</v>
      </c>
      <c r="B27" s="5" t="s">
        <v>60</v>
      </c>
      <c r="C27" s="14" t="s">
        <v>61</v>
      </c>
      <c r="D27" s="15" t="n">
        <f aca="false">FC_AMT/(1+R_EUR)*S0*(1+R_USD)</f>
        <v>0</v>
      </c>
    </row>
    <row r="28" customFormat="false" ht="35.05" hidden="false" customHeight="false" outlineLevel="0" collapsed="false">
      <c r="A28" s="5" t="s">
        <v>62</v>
      </c>
      <c r="B28" s="5" t="s">
        <v>63</v>
      </c>
      <c r="C28" s="13" t="n">
        <f aca="false">D27-D20</f>
        <v>-21870000</v>
      </c>
      <c r="D28" s="18" t="str">
        <f aca="false">IF(ABS(C28)&lt;5000,"✓ Parity OK","⚠ Check rates")</f>
        <v>⚠ Check rates</v>
      </c>
    </row>
    <row r="30" customFormat="false" ht="15" hidden="false" customHeight="true" outlineLevel="0" collapsed="false">
      <c r="A30" s="19" t="s">
        <v>64</v>
      </c>
      <c r="B30" s="19"/>
      <c r="C30" s="19"/>
      <c r="D30" s="19"/>
      <c r="E30" s="19"/>
      <c r="F30" s="19"/>
      <c r="G30" s="19"/>
    </row>
    <row r="31" customFormat="false" ht="15" hidden="false" customHeight="false" outlineLevel="0" collapsed="false">
      <c r="A31" s="20" t="s">
        <v>65</v>
      </c>
      <c r="B31" s="20" t="s">
        <v>53</v>
      </c>
      <c r="C31" s="20" t="s">
        <v>5</v>
      </c>
      <c r="D31" s="20" t="s">
        <v>66</v>
      </c>
    </row>
    <row r="32" customFormat="false" ht="15.75" hidden="false" customHeight="true" outlineLevel="0" collapsed="false">
      <c r="A32" s="5" t="s">
        <v>67</v>
      </c>
      <c r="B32" s="14" t="s">
        <v>68</v>
      </c>
      <c r="C32" s="13" t="n">
        <f aca="false">PREM_PUT*FC_AMT</f>
        <v>0</v>
      </c>
      <c r="D32" s="5" t="s">
        <v>69</v>
      </c>
    </row>
    <row r="33" customFormat="false" ht="15.75" hidden="false" customHeight="true" outlineLevel="0" collapsed="false">
      <c r="A33" s="5" t="s">
        <v>70</v>
      </c>
      <c r="B33" s="14" t="s">
        <v>71</v>
      </c>
      <c r="C33" s="13" t="n">
        <f aca="false">PREM_CALL*FC_AMT</f>
        <v>0</v>
      </c>
      <c r="D33" s="5" t="s">
        <v>72</v>
      </c>
    </row>
    <row r="34" customFormat="false" ht="15.75" hidden="false" customHeight="true" outlineLevel="0" collapsed="false">
      <c r="A34" s="5" t="s">
        <v>73</v>
      </c>
      <c r="B34" s="14" t="s">
        <v>74</v>
      </c>
      <c r="C34" s="13" t="n">
        <f aca="false">C32-C33</f>
        <v>0</v>
      </c>
      <c r="D34" s="5" t="s">
        <v>75</v>
      </c>
    </row>
    <row r="36" customFormat="false" ht="23.85" hidden="false" customHeight="false" outlineLevel="0" collapsed="false">
      <c r="A36" s="5" t="s">
        <v>76</v>
      </c>
      <c r="B36" s="13" t="n">
        <f aca="false">FC_AMT*S0</f>
        <v>478296900000000</v>
      </c>
      <c r="C36" s="5" t="s">
        <v>77</v>
      </c>
    </row>
    <row r="38" customFormat="false" ht="15" hidden="false" customHeight="true" outlineLevel="0" collapsed="false">
      <c r="A38" s="21" t="s">
        <v>78</v>
      </c>
      <c r="B38" s="21"/>
      <c r="C38" s="21"/>
      <c r="D38" s="21"/>
      <c r="E38" s="21"/>
      <c r="F38" s="21"/>
      <c r="G38" s="21"/>
    </row>
    <row r="39" customFormat="false" ht="30" hidden="false" customHeight="true" outlineLevel="0" collapsed="false">
      <c r="A39" s="22" t="s">
        <v>79</v>
      </c>
      <c r="B39" s="22" t="s">
        <v>80</v>
      </c>
      <c r="C39" s="22" t="s">
        <v>81</v>
      </c>
      <c r="D39" s="22" t="s">
        <v>82</v>
      </c>
      <c r="E39" s="22" t="s">
        <v>83</v>
      </c>
      <c r="F39" s="22" t="s">
        <v>84</v>
      </c>
      <c r="G39" s="22" t="s">
        <v>85</v>
      </c>
    </row>
    <row r="40" customFormat="false" ht="15" hidden="false" customHeight="true" outlineLevel="0" collapsed="false">
      <c r="A40" s="23" t="n">
        <v>0.95</v>
      </c>
      <c r="B40" s="12" t="n">
        <f aca="false">A40*$C$7</f>
        <v>1.09668</v>
      </c>
      <c r="C40" s="13" t="n">
        <f aca="false">$C$6*B40</f>
        <v>21933600</v>
      </c>
      <c r="D40" s="13" t="n">
        <f aca="false">$C$6*$C$8</f>
        <v>21870000</v>
      </c>
      <c r="E40" s="13" t="n">
        <f aca="false">D27</f>
        <v>0</v>
      </c>
      <c r="F40" s="13" t="n">
        <f aca="false">MAX($C$12,B40)*$C$6-$C$13*$C$6</f>
        <v>22708000</v>
      </c>
      <c r="G40" s="13" t="n">
        <f aca="false">MAX($C$12,MIN($C$14,B40))*$C$6-($C$13-$C$15)*$C$6</f>
        <v>22908000</v>
      </c>
    </row>
    <row r="41" customFormat="false" ht="15" hidden="false" customHeight="true" outlineLevel="0" collapsed="false">
      <c r="A41" s="23" t="n">
        <v>0.96</v>
      </c>
      <c r="B41" s="12" t="n">
        <f aca="false">A41*$C$7</f>
        <v>1.108224</v>
      </c>
      <c r="C41" s="13" t="n">
        <f aca="false">$C$6*B41</f>
        <v>22164480</v>
      </c>
      <c r="D41" s="13" t="n">
        <f aca="false">$C$6*$C$8</f>
        <v>21870000</v>
      </c>
      <c r="E41" s="13" t="n">
        <f aca="false">D27</f>
        <v>0</v>
      </c>
      <c r="F41" s="13" t="n">
        <f aca="false">MAX($C$12,B41)*$C$6-$C$13*$C$6</f>
        <v>22708000</v>
      </c>
      <c r="G41" s="13" t="n">
        <f aca="false">MAX($C$12,MIN($C$14,B41))*$C$6-($C$13-$C$15)*$C$6</f>
        <v>22908000</v>
      </c>
    </row>
    <row r="42" customFormat="false" ht="15" hidden="false" customHeight="true" outlineLevel="0" collapsed="false">
      <c r="A42" s="23" t="n">
        <v>0.97</v>
      </c>
      <c r="B42" s="12" t="n">
        <f aca="false">A42*$C$7</f>
        <v>1.119768</v>
      </c>
      <c r="C42" s="13" t="n">
        <f aca="false">$C$6*B42</f>
        <v>22395360</v>
      </c>
      <c r="D42" s="13" t="n">
        <f aca="false">$C$6*$C$8</f>
        <v>21870000</v>
      </c>
      <c r="E42" s="13" t="n">
        <f aca="false">D27</f>
        <v>0</v>
      </c>
      <c r="F42" s="13" t="n">
        <f aca="false">MAX($C$12,B42)*$C$6-$C$13*$C$6</f>
        <v>22708000</v>
      </c>
      <c r="G42" s="13" t="n">
        <f aca="false">MAX($C$12,MIN($C$14,B42))*$C$6-($C$13-$C$15)*$C$6</f>
        <v>22908000</v>
      </c>
    </row>
    <row r="43" customFormat="false" ht="15" hidden="false" customHeight="true" outlineLevel="0" collapsed="false">
      <c r="A43" s="23" t="n">
        <v>0.98</v>
      </c>
      <c r="B43" s="12" t="n">
        <f aca="false">A43*$C$7</f>
        <v>1.131312</v>
      </c>
      <c r="C43" s="13" t="n">
        <f aca="false">$C$6*B43</f>
        <v>22626240</v>
      </c>
      <c r="D43" s="13" t="n">
        <f aca="false">$C$6*$C$8</f>
        <v>21870000</v>
      </c>
      <c r="E43" s="13" t="n">
        <f aca="false">D27</f>
        <v>0</v>
      </c>
      <c r="F43" s="13" t="n">
        <f aca="false">MAX($C$12,B43)*$C$6-$C$13*$C$6</f>
        <v>22708000</v>
      </c>
      <c r="G43" s="13" t="n">
        <f aca="false">MAX($C$12,MIN($C$14,B43))*$C$6-($C$13-$C$15)*$C$6</f>
        <v>22908000</v>
      </c>
    </row>
    <row r="44" customFormat="false" ht="15" hidden="false" customHeight="true" outlineLevel="0" collapsed="false">
      <c r="A44" s="23" t="n">
        <v>0.99</v>
      </c>
      <c r="B44" s="12" t="n">
        <f aca="false">A44*$C$7</f>
        <v>1.142856</v>
      </c>
      <c r="C44" s="13" t="n">
        <f aca="false">$C$6*B44</f>
        <v>22857120</v>
      </c>
      <c r="D44" s="13" t="n">
        <f aca="false">$C$6*$C$8</f>
        <v>21870000</v>
      </c>
      <c r="E44" s="13" t="n">
        <f aca="false">D27</f>
        <v>0</v>
      </c>
      <c r="F44" s="13" t="n">
        <f aca="false">MAX($C$12,B44)*$C$6-$C$13*$C$6</f>
        <v>22708000</v>
      </c>
      <c r="G44" s="13" t="n">
        <f aca="false">MAX($C$12,MIN($C$14,B44))*$C$6-($C$13-$C$15)*$C$6</f>
        <v>22908000</v>
      </c>
    </row>
    <row r="45" customFormat="false" ht="15" hidden="false" customHeight="true" outlineLevel="0" collapsed="false">
      <c r="A45" s="23" t="n">
        <v>1</v>
      </c>
      <c r="B45" s="24" t="n">
        <f aca="false">A45*$C$7</f>
        <v>1.1544</v>
      </c>
      <c r="C45" s="25" t="n">
        <f aca="false">$C$6*B45</f>
        <v>23088000</v>
      </c>
      <c r="D45" s="25" t="n">
        <f aca="false">$C$6*$C$8</f>
        <v>21870000</v>
      </c>
      <c r="E45" s="25" t="n">
        <f aca="false">D27</f>
        <v>0</v>
      </c>
      <c r="F45" s="25" t="n">
        <f aca="false">MAX($C$12,B45)*$C$6-$C$13*$C$6</f>
        <v>22708000</v>
      </c>
      <c r="G45" s="25" t="n">
        <f aca="false">MAX($C$12,MIN($C$14,B45))*$C$6-($C$13-$C$15)*$C$6</f>
        <v>22908000</v>
      </c>
    </row>
    <row r="46" customFormat="false" ht="15" hidden="false" customHeight="true" outlineLevel="0" collapsed="false">
      <c r="A46" s="23" t="n">
        <v>1.01</v>
      </c>
      <c r="B46" s="12" t="n">
        <f aca="false">A46*$C$7</f>
        <v>1.165944</v>
      </c>
      <c r="C46" s="13" t="n">
        <f aca="false">$C$6*B46</f>
        <v>23318880</v>
      </c>
      <c r="D46" s="13" t="n">
        <f aca="false">$C$6*$C$8</f>
        <v>21870000</v>
      </c>
      <c r="E46" s="13" t="n">
        <f aca="false">D27</f>
        <v>0</v>
      </c>
      <c r="F46" s="13" t="n">
        <f aca="false">MAX($C$12,B46)*$C$6-$C$13*$C$6</f>
        <v>22938880</v>
      </c>
      <c r="G46" s="13" t="n">
        <f aca="false">MAX($C$12,MIN($C$14,B46))*$C$6-($C$13-$C$15)*$C$6</f>
        <v>23138880</v>
      </c>
    </row>
    <row r="47" customFormat="false" ht="15" hidden="false" customHeight="true" outlineLevel="0" collapsed="false">
      <c r="A47" s="23" t="n">
        <v>1.02</v>
      </c>
      <c r="B47" s="12" t="n">
        <f aca="false">A47*$C$7</f>
        <v>1.177488</v>
      </c>
      <c r="C47" s="13" t="n">
        <f aca="false">$C$6*B47</f>
        <v>23549760</v>
      </c>
      <c r="D47" s="13" t="n">
        <f aca="false">$C$6*$C$8</f>
        <v>21870000</v>
      </c>
      <c r="E47" s="13" t="n">
        <f aca="false">D27</f>
        <v>0</v>
      </c>
      <c r="F47" s="13" t="n">
        <f aca="false">MAX($C$12,B47)*$C$6-$C$13*$C$6</f>
        <v>23169760</v>
      </c>
      <c r="G47" s="13" t="n">
        <f aca="false">MAX($C$12,MIN($C$14,B47))*$C$6-($C$13-$C$15)*$C$6</f>
        <v>23369760</v>
      </c>
    </row>
    <row r="48" customFormat="false" ht="15" hidden="false" customHeight="true" outlineLevel="0" collapsed="false">
      <c r="A48" s="23" t="n">
        <v>1.03</v>
      </c>
      <c r="B48" s="12" t="n">
        <f aca="false">A48*$C$7</f>
        <v>1.189032</v>
      </c>
      <c r="C48" s="13" t="n">
        <f aca="false">$C$6*B48</f>
        <v>23780640</v>
      </c>
      <c r="D48" s="13" t="n">
        <f aca="false">$C$6*$C$8</f>
        <v>21870000</v>
      </c>
      <c r="E48" s="13" t="n">
        <f aca="false">D27</f>
        <v>0</v>
      </c>
      <c r="F48" s="13" t="n">
        <f aca="false">MAX($C$12,B48)*$C$6-$C$13*$C$6</f>
        <v>23400640</v>
      </c>
      <c r="G48" s="13" t="n">
        <f aca="false">MAX($C$12,MIN($C$14,B48))*$C$6-($C$13-$C$15)*$C$6</f>
        <v>23600640</v>
      </c>
    </row>
    <row r="49" customFormat="false" ht="15" hidden="false" customHeight="true" outlineLevel="0" collapsed="false">
      <c r="A49" s="23" t="n">
        <v>1.04</v>
      </c>
      <c r="B49" s="12" t="n">
        <f aca="false">A49*$C$7</f>
        <v>1.200576</v>
      </c>
      <c r="C49" s="13" t="n">
        <f aca="false">$C$6*B49</f>
        <v>24011520</v>
      </c>
      <c r="D49" s="13" t="n">
        <f aca="false">$C$6*$C$8</f>
        <v>21870000</v>
      </c>
      <c r="E49" s="13" t="n">
        <f aca="false">D27</f>
        <v>0</v>
      </c>
      <c r="F49" s="13" t="n">
        <f aca="false">MAX($C$12,B49)*$C$6-$C$13*$C$6</f>
        <v>23631520</v>
      </c>
      <c r="G49" s="13" t="n">
        <f aca="false">MAX($C$12,MIN($C$14,B49))*$C$6-($C$13-$C$15)*$C$6</f>
        <v>23820000</v>
      </c>
    </row>
    <row r="50" customFormat="false" ht="15" hidden="false" customHeight="true" outlineLevel="0" collapsed="false">
      <c r="A50" s="23" t="n">
        <v>1.05</v>
      </c>
      <c r="B50" s="12" t="n">
        <f aca="false">A50*$C$7</f>
        <v>1.21212</v>
      </c>
      <c r="C50" s="13" t="n">
        <f aca="false">$C$6*B50</f>
        <v>24242400</v>
      </c>
      <c r="D50" s="13" t="n">
        <f aca="false">$C$6*$C$8</f>
        <v>21870000</v>
      </c>
      <c r="E50" s="13" t="n">
        <f aca="false">D27</f>
        <v>0</v>
      </c>
      <c r="F50" s="13" t="n">
        <f aca="false">MAX($C$12,B50)*$C$6-$C$13*$C$6</f>
        <v>23862400</v>
      </c>
      <c r="G50" s="13" t="n">
        <f aca="false">MAX($C$12,MIN($C$14,B50))*$C$6-($C$13-$C$15)*$C$6</f>
        <v>23820000</v>
      </c>
    </row>
    <row r="67" customFormat="false" ht="15" hidden="false" customHeight="true" outlineLevel="0" collapsed="false">
      <c r="A67" s="3" t="s">
        <v>86</v>
      </c>
      <c r="B67" s="3"/>
      <c r="C67" s="3"/>
      <c r="D67" s="3"/>
      <c r="E67" s="3"/>
      <c r="F67" s="3"/>
      <c r="G67" s="3"/>
    </row>
    <row r="68" customFormat="false" ht="15" hidden="false" customHeight="false" outlineLevel="0" collapsed="false">
      <c r="A68" s="4" t="s">
        <v>87</v>
      </c>
      <c r="B68" s="4" t="s">
        <v>88</v>
      </c>
      <c r="C68" s="4" t="s">
        <v>89</v>
      </c>
      <c r="D68" s="4" t="s">
        <v>90</v>
      </c>
      <c r="E68" s="4" t="s">
        <v>91</v>
      </c>
    </row>
    <row r="69" customFormat="false" ht="15.75" hidden="false" customHeight="true" outlineLevel="0" collapsed="false">
      <c r="A69" s="5" t="s">
        <v>92</v>
      </c>
      <c r="B69" s="15" t="n">
        <f aca="false">C6*C7</f>
        <v>23088000</v>
      </c>
      <c r="C69" s="26" t="s">
        <v>93</v>
      </c>
      <c r="D69" s="26" t="s">
        <v>93</v>
      </c>
      <c r="E69" s="5" t="s">
        <v>94</v>
      </c>
    </row>
    <row r="70" customFormat="false" ht="15.75" hidden="false" customHeight="true" outlineLevel="0" collapsed="false">
      <c r="A70" s="5" t="s">
        <v>95</v>
      </c>
      <c r="B70" s="15" t="n">
        <f aca="false">D20</f>
        <v>21870000</v>
      </c>
      <c r="C70" s="15" t="n">
        <f aca="false">B70-B69</f>
        <v>-1218000</v>
      </c>
      <c r="D70" s="27" t="n">
        <f aca="false">C70/B69</f>
        <v>-0.0527546777546778</v>
      </c>
      <c r="E70" s="5" t="s">
        <v>96</v>
      </c>
    </row>
    <row r="71" customFormat="false" ht="15.75" hidden="false" customHeight="true" outlineLevel="0" collapsed="false">
      <c r="A71" s="5" t="s">
        <v>97</v>
      </c>
      <c r="B71" s="15" t="n">
        <f aca="false">D27</f>
        <v>0</v>
      </c>
      <c r="C71" s="15" t="n">
        <f aca="false">B71-B69</f>
        <v>-23088000</v>
      </c>
      <c r="D71" s="27" t="n">
        <f aca="false">C71/B69</f>
        <v>-1</v>
      </c>
      <c r="E71" s="5" t="s">
        <v>98</v>
      </c>
    </row>
    <row r="72" customFormat="false" ht="15.75" hidden="false" customHeight="true" outlineLevel="0" collapsed="false">
      <c r="A72" s="5" t="s">
        <v>99</v>
      </c>
      <c r="B72" s="15" t="n">
        <f aca="false">MAX(C12,C7)*C6-C13*C6</f>
        <v>22708000</v>
      </c>
      <c r="C72" s="15" t="n">
        <f aca="false">B72-B69</f>
        <v>-380000</v>
      </c>
      <c r="D72" s="27" t="n">
        <f aca="false">C72/B69</f>
        <v>-0.0164587664587665</v>
      </c>
      <c r="E72" s="5" t="s">
        <v>100</v>
      </c>
    </row>
    <row r="73" customFormat="false" ht="15.75" hidden="false" customHeight="true" outlineLevel="0" collapsed="false">
      <c r="A73" s="5" t="s">
        <v>101</v>
      </c>
      <c r="B73" s="15" t="n">
        <f aca="false">MAX(C12,MIN(C14,C7))*C6-(C13-C15)*C6</f>
        <v>22908000</v>
      </c>
      <c r="C73" s="15" t="n">
        <f aca="false">B73-B69</f>
        <v>-180000</v>
      </c>
      <c r="D73" s="27" t="n">
        <f aca="false">C73/B69</f>
        <v>-0.0077962577962578</v>
      </c>
      <c r="E73" s="5" t="s">
        <v>102</v>
      </c>
    </row>
    <row r="74" customFormat="false" ht="15.75" hidden="false" customHeight="true" outlineLevel="0" collapsed="false">
      <c r="A74" s="5" t="s">
        <v>103</v>
      </c>
      <c r="B74" s="28" t="s">
        <v>104</v>
      </c>
      <c r="C74" s="26" t="s">
        <v>93</v>
      </c>
      <c r="D74" s="26" t="s">
        <v>93</v>
      </c>
      <c r="E74" s="5" t="s">
        <v>105</v>
      </c>
    </row>
  </sheetData>
  <mergeCells count="8">
    <mergeCell ref="A1:G1"/>
    <mergeCell ref="A2:G2"/>
    <mergeCell ref="A4:G4"/>
    <mergeCell ref="A17:G17"/>
    <mergeCell ref="A22:G22"/>
    <mergeCell ref="A30:G30"/>
    <mergeCell ref="A38:G38"/>
    <mergeCell ref="A67:G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60"/>
    <col collapsed="false" customWidth="true" hidden="false" outlineLevel="0" max="3" min="3" style="0" width="22"/>
  </cols>
  <sheetData>
    <row r="1" customFormat="false" ht="17.35" hidden="false" customHeight="true" outlineLevel="0" collapsed="false">
      <c r="A1" s="1" t="s">
        <v>106</v>
      </c>
      <c r="B1" s="1"/>
      <c r="C1" s="1"/>
    </row>
    <row r="2" customFormat="false" ht="15" hidden="false" customHeight="true" outlineLevel="0" collapsed="false">
      <c r="A2" s="4" t="s">
        <v>107</v>
      </c>
      <c r="B2" s="4" t="s">
        <v>65</v>
      </c>
      <c r="C2" s="4" t="s">
        <v>108</v>
      </c>
    </row>
    <row r="3" customFormat="false" ht="15" hidden="false" customHeight="true" outlineLevel="0" collapsed="false">
      <c r="A3" s="29" t="s">
        <v>109</v>
      </c>
      <c r="B3" s="5" t="s">
        <v>110</v>
      </c>
      <c r="C3" s="5" t="s">
        <v>111</v>
      </c>
    </row>
    <row r="4" customFormat="false" ht="15" hidden="false" customHeight="true" outlineLevel="0" collapsed="false">
      <c r="A4" s="29" t="s">
        <v>109</v>
      </c>
      <c r="B4" s="5" t="s">
        <v>112</v>
      </c>
      <c r="C4" s="5" t="s">
        <v>113</v>
      </c>
    </row>
    <row r="5" customFormat="false" ht="15" hidden="false" customHeight="true" outlineLevel="0" collapsed="false">
      <c r="A5" s="29" t="s">
        <v>109</v>
      </c>
      <c r="B5" s="5" t="s">
        <v>114</v>
      </c>
      <c r="C5" s="5" t="s">
        <v>115</v>
      </c>
    </row>
    <row r="6" customFormat="false" ht="15" hidden="false" customHeight="true" outlineLevel="0" collapsed="false">
      <c r="A6" s="29" t="s">
        <v>109</v>
      </c>
      <c r="B6" s="5" t="s">
        <v>116</v>
      </c>
      <c r="C6" s="5" t="s">
        <v>117</v>
      </c>
    </row>
    <row r="7" customFormat="false" ht="15" hidden="false" customHeight="true" outlineLevel="0" collapsed="false">
      <c r="A7" s="30"/>
      <c r="B7" s="30"/>
      <c r="C7" s="30"/>
    </row>
    <row r="8" customFormat="false" ht="15" hidden="false" customHeight="true" outlineLevel="0" collapsed="false">
      <c r="A8" s="29" t="s">
        <v>118</v>
      </c>
      <c r="B8" s="5" t="s">
        <v>119</v>
      </c>
      <c r="C8" s="5" t="s">
        <v>120</v>
      </c>
    </row>
    <row r="9" customFormat="false" ht="15" hidden="false" customHeight="true" outlineLevel="0" collapsed="false">
      <c r="A9" s="29" t="s">
        <v>118</v>
      </c>
      <c r="B9" s="5" t="s">
        <v>121</v>
      </c>
      <c r="C9" s="5" t="s">
        <v>122</v>
      </c>
    </row>
    <row r="10" customFormat="false" ht="15" hidden="false" customHeight="true" outlineLevel="0" collapsed="false">
      <c r="A10" s="29" t="s">
        <v>118</v>
      </c>
      <c r="B10" s="5" t="s">
        <v>123</v>
      </c>
      <c r="C10" s="5" t="s">
        <v>124</v>
      </c>
    </row>
    <row r="11" customFormat="false" ht="15" hidden="false" customHeight="true" outlineLevel="0" collapsed="false">
      <c r="A11" s="29" t="s">
        <v>118</v>
      </c>
      <c r="B11" s="5" t="s">
        <v>125</v>
      </c>
      <c r="C11" s="5" t="s">
        <v>126</v>
      </c>
    </row>
    <row r="12" customFormat="false" ht="15" hidden="false" customHeight="true" outlineLevel="0" collapsed="false">
      <c r="A12" s="29" t="s">
        <v>118</v>
      </c>
      <c r="B12" s="5" t="s">
        <v>127</v>
      </c>
      <c r="C12" s="5" t="s">
        <v>128</v>
      </c>
    </row>
    <row r="13" customFormat="false" ht="15" hidden="false" customHeight="true" outlineLevel="0" collapsed="false">
      <c r="A13" s="30"/>
      <c r="B13" s="30"/>
      <c r="C13" s="30"/>
    </row>
    <row r="14" customFormat="false" ht="15" hidden="false" customHeight="true" outlineLevel="0" collapsed="false">
      <c r="A14" s="29" t="s">
        <v>129</v>
      </c>
      <c r="B14" s="5" t="s">
        <v>130</v>
      </c>
      <c r="C14" s="5" t="s">
        <v>131</v>
      </c>
    </row>
    <row r="15" customFormat="false" ht="15" hidden="false" customHeight="true" outlineLevel="0" collapsed="false">
      <c r="A15" s="29" t="s">
        <v>129</v>
      </c>
      <c r="B15" s="5" t="s">
        <v>33</v>
      </c>
      <c r="C15" s="5" t="s">
        <v>132</v>
      </c>
    </row>
    <row r="16" customFormat="false" ht="15" hidden="false" customHeight="true" outlineLevel="0" collapsed="false">
      <c r="A16" s="29" t="s">
        <v>129</v>
      </c>
      <c r="B16" s="5" t="s">
        <v>133</v>
      </c>
      <c r="C16" s="5" t="s">
        <v>134</v>
      </c>
    </row>
    <row r="17" customFormat="false" ht="15" hidden="false" customHeight="true" outlineLevel="0" collapsed="false">
      <c r="A17" s="29" t="s">
        <v>129</v>
      </c>
      <c r="B17" s="5" t="s">
        <v>39</v>
      </c>
      <c r="C17" s="5" t="s">
        <v>135</v>
      </c>
    </row>
    <row r="18" customFormat="false" ht="15" hidden="false" customHeight="true" outlineLevel="0" collapsed="false">
      <c r="A18" s="29" t="s">
        <v>129</v>
      </c>
      <c r="B18" s="5" t="s">
        <v>136</v>
      </c>
      <c r="C18" s="5" t="s">
        <v>137</v>
      </c>
    </row>
    <row r="19" customFormat="false" ht="15" hidden="false" customHeight="true" outlineLevel="0" collapsed="false">
      <c r="A19" s="30"/>
      <c r="B19" s="30"/>
      <c r="C19" s="30"/>
    </row>
    <row r="20" customFormat="false" ht="15" hidden="false" customHeight="true" outlineLevel="0" collapsed="false">
      <c r="A20" s="29" t="s">
        <v>138</v>
      </c>
      <c r="B20" s="5" t="s">
        <v>139</v>
      </c>
      <c r="C20" s="5" t="s">
        <v>140</v>
      </c>
    </row>
    <row r="21" customFormat="false" ht="15" hidden="false" customHeight="true" outlineLevel="0" collapsed="false">
      <c r="A21" s="29" t="s">
        <v>138</v>
      </c>
      <c r="B21" s="5" t="s">
        <v>141</v>
      </c>
      <c r="C21" s="5" t="s">
        <v>142</v>
      </c>
    </row>
    <row r="22" customFormat="false" ht="15" hidden="false" customHeight="true" outlineLevel="0" collapsed="false">
      <c r="A22" s="29" t="s">
        <v>138</v>
      </c>
      <c r="B22" s="5" t="s">
        <v>143</v>
      </c>
      <c r="C22" s="5" t="s">
        <v>144</v>
      </c>
    </row>
    <row r="23" customFormat="false" ht="15" hidden="false" customHeight="true" outlineLevel="0" collapsed="false">
      <c r="A23" s="29" t="s">
        <v>138</v>
      </c>
      <c r="B23" s="5" t="s">
        <v>145</v>
      </c>
      <c r="C23" s="5" t="s">
        <v>146</v>
      </c>
    </row>
    <row r="24" customFormat="false" ht="15" hidden="false" customHeight="true" outlineLevel="0" collapsed="false">
      <c r="A24" s="29" t="s">
        <v>138</v>
      </c>
      <c r="B24" s="5" t="s">
        <v>147</v>
      </c>
      <c r="C24" s="5" t="s">
        <v>148</v>
      </c>
    </row>
    <row r="25" customFormat="false" ht="15" hidden="false" customHeight="true" outlineLevel="0" collapsed="false">
      <c r="A25" s="29" t="s">
        <v>138</v>
      </c>
      <c r="B25" s="5" t="s">
        <v>149</v>
      </c>
      <c r="C25" s="5" t="s">
        <v>150</v>
      </c>
    </row>
    <row r="26" customFormat="false" ht="15" hidden="false" customHeight="true" outlineLevel="0" collapsed="false">
      <c r="A26" s="30"/>
      <c r="B26" s="30"/>
      <c r="C26" s="30"/>
    </row>
    <row r="27" customFormat="false" ht="15" hidden="false" customHeight="true" outlineLevel="0" collapsed="false">
      <c r="A27" s="29" t="s">
        <v>151</v>
      </c>
      <c r="B27" s="5" t="s">
        <v>53</v>
      </c>
      <c r="C27" s="5" t="s">
        <v>152</v>
      </c>
    </row>
    <row r="28" customFormat="false" ht="15" hidden="false" customHeight="true" outlineLevel="0" collapsed="false">
      <c r="A28" s="29" t="s">
        <v>151</v>
      </c>
      <c r="B28" s="5" t="s">
        <v>153</v>
      </c>
      <c r="C28" s="5" t="s">
        <v>154</v>
      </c>
    </row>
    <row r="29" customFormat="false" ht="15" hidden="false" customHeight="true" outlineLevel="0" collapsed="false">
      <c r="A29" s="29" t="s">
        <v>151</v>
      </c>
      <c r="B29" s="5" t="s">
        <v>155</v>
      </c>
      <c r="C29" s="5" t="s">
        <v>156</v>
      </c>
    </row>
    <row r="30" customFormat="false" ht="15" hidden="false" customHeight="true" outlineLevel="0" collapsed="false">
      <c r="A30" s="30"/>
      <c r="B30" s="30"/>
      <c r="C30" s="30"/>
    </row>
    <row r="31" customFormat="false" ht="15" hidden="false" customHeight="true" outlineLevel="0" collapsed="false">
      <c r="A31" s="29" t="s">
        <v>157</v>
      </c>
      <c r="B31" s="5" t="s">
        <v>158</v>
      </c>
      <c r="C31" s="5" t="s">
        <v>159</v>
      </c>
    </row>
    <row r="32" customFormat="false" ht="15" hidden="false" customHeight="true" outlineLevel="0" collapsed="false">
      <c r="A32" s="29" t="s">
        <v>157</v>
      </c>
      <c r="B32" s="5" t="s">
        <v>160</v>
      </c>
      <c r="C32" s="5" t="s">
        <v>161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2026-04-11T08:42:04Z</dcterms:created>
  <dc:creator>openpyxl</dc:creator>
  <dc:description/>
  <dc:language>en-US</dc:language>
  <cp:lastModifiedBy/>
  <dcterms:modified xsi:type="dcterms:W3CDTF">2026-04-11T08:42:12Z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